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4853570834d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aaaed6c04ee4dab"/>
    <x:sheet xmlns:r="http://schemas.openxmlformats.org/officeDocument/2006/relationships" name="Arborescence" sheetId="2" r:id="R69c6353c82984eb8"/>
    <x:sheet xmlns:r="http://schemas.openxmlformats.org/officeDocument/2006/relationships" name="Collections" sheetId="3" r:id="R69b92d41830c4d87"/>
    <x:sheet xmlns:r="http://schemas.openxmlformats.org/officeDocument/2006/relationships" name="SKU_Plan" sheetId="4" r:id="R798c3a46a7444eb6"/>
    <x:sheet xmlns:r="http://schemas.openxmlformats.org/officeDocument/2006/relationships" name="Concurrents" sheetId="5" r:id="Re2be39d0678e4832"/>
    <x:sheet xmlns:r="http://schemas.openxmlformats.org/officeDocument/2006/relationships" name="Sourcing_AliExpress" sheetId="6" r:id="R74961f75338240f2"/>
    <x:sheet xmlns:r="http://schemas.openxmlformats.org/officeDocument/2006/relationships" name="Source_Data" sheetId="7" r:id="Rb57b7bc70e504f9b"/>
    <x:sheet xmlns:r="http://schemas.openxmlformats.org/officeDocument/2006/relationships" name="Notes" sheetId="8" r:id="R8641dc86dbe94e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"/>
    <x:numFmt numFmtId="202" formatCode="0.00"/>
    <x:numFmt numFmtId="203" formatCode="0"/>
    <x:numFmt numFmtId="204" formatCode="0.0x"/>
  </x:numFmts>
  <x:fonts count="9">
    <x:font>
      <x:sz val="11"/>
      <x:name val="Carlito"/>
    </x:font>
    <x:font>
      <x:b/>
      <x:sz val="16"/>
      <x:color rgb="FFFFFFFF"/>
      <x:name val="Carlito"/>
    </x:font>
    <x:font>
      <x:sz val="11"/>
      <x:color rgb="FF064E3B"/>
      <x:name val="Carlito"/>
    </x:font>
    <x:font>
      <x:b/>
      <x:sz val="11"/>
      <x:color rgb="FFFFFFFF"/>
      <x:name val="Carlito"/>
    </x:font>
    <x:font>
      <x:b/>
      <x:sz val="14"/>
      <x:color rgb="FF9A3412"/>
      <x:name val="Carlito"/>
    </x:font>
    <x:font>
      <x:b/>
      <x:sz val="14"/>
      <x:color rgb="FF115E59"/>
      <x:name val="Carlito"/>
    </x:font>
    <x:font>
      <x:b/>
      <x:sz val="11"/>
      <x:name val="Carlito"/>
    </x:font>
    <x:font>
      <x:b/>
      <x:sz val="11"/>
      <x:color rgb="FF064E3B"/>
      <x:name val="Carlito"/>
    </x:font>
    <x:font>
      <x:b/>
      <x:sz val="11"/>
      <x:color rgb="FF9A341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ECFDF5"/>
      </x:patternFill>
    </x:fill>
    <x:fill>
      <x:patternFill patternType="solid">
        <x:fgColor rgb="FF0F766E"/>
      </x:patternFill>
    </x:fill>
    <x:fill>
      <x:patternFill patternType="solid">
        <x:fgColor rgb="FFFFF7ED"/>
      </x:patternFill>
    </x:fill>
    <x:fill>
      <x:patternFill patternType="solid">
        <x:fgColor rgb="FFF0FDFA"/>
      </x:patternFill>
    </x:fill>
    <x:fill>
      <x:patternFill patternType="solid">
        <x:fgColor rgb="FF1F2937"/>
      </x:patternFill>
    </x:fill>
    <x:fill>
      <x:patternFill patternType="solid">
        <x:fgColor rgb="FFF97316"/>
      </x:patternFill>
    </x:fill>
  </x:fills>
  <x:borders count="12">
    <x:border/>
    <x:border>
      <x:left style="thin">
        <x:color rgb="FF0B4F45"/>
      </x:left>
      <x:top style="thin">
        <x:color rgb="FF0B4F45"/>
      </x:top>
      <x:bottom style="thin">
        <x:color rgb="FF0B4F45"/>
      </x:bottom>
    </x:border>
    <x:border>
      <x:top style="thin">
        <x:color rgb="FF0B4F45"/>
      </x:top>
      <x:bottom style="thin">
        <x:color rgb="FF0B4F45"/>
      </x:bottom>
    </x:border>
    <x:border>
      <x:right style="thin">
        <x:color rgb="FF0B4F45"/>
      </x:right>
      <x:top style="thin">
        <x:color rgb="FF0B4F45"/>
      </x:top>
      <x:bottom style="thin">
        <x:color rgb="FF0B4F45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right"/>
    </x:xf>
    <x:xf numFmtId="201" fontId="5" fillId="6" borderId="0" xfId="0" applyNumberFormat="1" applyFont="1" applyFill="1" applyBorder="1" applyAlignment="1">
      <x:alignment horizontal="center"/>
    </x:xf>
    <x:xf numFmtId="201" fontId="5" fillId="6" borderId="0" xfId="0" applyNumberFormat="1" applyFont="1" applyFill="1" applyBorder="1" applyAlignment="1">
      <x:alignment horizontal="right"/>
    </x:xf>
    <x:xf numFmtId="202" fontId="5" fillId="6" borderId="0" xfId="0" applyNumberFormat="1" applyFont="1" applyFill="1" applyBorder="1" applyAlignment="1">
      <x:alignment horizontal="center"/>
    </x:xf>
    <x:xf numFmtId="202" fontId="5" fillId="6" borderId="0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8" borderId="9" xfId="0" applyNumberFormat="1" applyFont="1" applyFill="1" applyBorder="1" applyAlignment="1">
      <x:alignment vertical="top" wrapText="1"/>
    </x:xf>
    <x:xf numFmtId="0" fontId="3" fillId="8" borderId="4" xfId="0" applyNumberFormat="1" applyFont="1" applyFill="1" applyBorder="1" applyAlignment="1">
      <x:alignment vertical="top" wrapText="1"/>
    </x:xf>
    <x:xf numFmtId="0" fontId="3" fillId="8" borderId="7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vertical="top" wrapText="1"/>
    </x:xf>
    <x:xf numFmtId="0" fontId="3" fillId="8" borderId="4" xfId="0" applyNumberFormat="1" applyFont="1" applyFill="1" applyBorder="1" applyAlignment="1">
      <x:alignment horizontal="center" vertical="top" wrapText="1"/>
    </x:xf>
    <x:xf numFmtId="0" fontId="3" fillId="8" borderId="7" xfId="0" applyNumberFormat="1" applyFont="1" applyFill="1" applyBorder="1" applyAlignment="1">
      <x:alignment horizontal="center" vertical="top" wrapText="1"/>
    </x:xf>
    <x:xf numFmtId="0" fontId="3" fillId="8" borderId="9" xfId="0" applyNumberFormat="1" applyFont="1" applyFill="1" applyBorder="1" applyAlignment="1">
      <x:alignment horizontal="center"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  <x:xf numFmtId="200" fontId="0" fillId="0" borderId="10" xfId="0" applyNumberFormat="1" applyFont="1" applyFill="1" applyBorder="1" applyAlignment="1">
      <x:alignment horizontal="right" vertical="top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0" xfId="0" applyNumberFormat="1" applyFont="1" applyFill="1" applyBorder="1" applyAlignment="1">
      <x:alignment vertical="top" wrapText="1"/>
    </x:xf>
    <x:xf numFmtId="203" fontId="0" fillId="0" borderId="5" xfId="0" applyNumberFormat="1" applyFont="1" applyFill="1" applyBorder="1" applyAlignment="1">
      <x:alignment horizontal="right" vertical="top" wrapText="1"/>
    </x:xf>
    <x:xf numFmtId="203" fontId="0" fillId="0" borderId="0" xfId="0" applyNumberFormat="1" applyFont="1" applyFill="1" applyBorder="1" applyAlignment="1">
      <x:alignment horizontal="right" vertical="top" wrapText="1"/>
    </x:xf>
    <x:xf numFmtId="203" fontId="0" fillId="0" borderId="10" xfId="0" applyNumberFormat="1" applyFont="1" applyFill="1" applyBorder="1" applyAlignment="1">
      <x:alignment horizontal="right" vertical="top" wrapText="1"/>
    </x:xf>
    <x:xf numFmtId="202" fontId="0" fillId="0" borderId="5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202" fontId="0" fillId="0" borderId="5" xfId="0" applyNumberFormat="1" applyFont="1" applyFill="1" applyBorder="1" applyAlignment="1">
      <x:alignment horizontal="right" vertical="top" wrapText="1"/>
    </x:xf>
    <x:xf numFmtId="202" fontId="0" fillId="0" borderId="0" xfId="0" applyNumberFormat="1" applyFont="1" applyFill="1" applyBorder="1" applyAlignment="1">
      <x:alignment horizontal="right" vertical="top" wrapText="1"/>
    </x:xf>
    <x:xf numFmtId="202" fontId="0" fillId="0" borderId="10" xfId="0" applyNumberFormat="1" applyFont="1" applyFill="1" applyBorder="1" applyAlignment="1">
      <x:alignment horizontal="right" vertical="top"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204" fontId="0" fillId="0" borderId="5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0" xfId="0" applyNumberFormat="1" applyFont="1" applyFill="1" applyBorder="1" applyAlignment="1">
      <x:alignment vertical="top" wrapText="1"/>
    </x:xf>
    <x:xf numFmtId="204" fontId="0" fillId="0" borderId="5" xfId="0" applyNumberFormat="1" applyFont="1" applyFill="1" applyBorder="1" applyAlignment="1">
      <x:alignment horizontal="right" vertical="top" wrapText="1"/>
    </x:xf>
    <x:xf numFmtId="204" fontId="0" fillId="0" borderId="0" xfId="0" applyNumberFormat="1" applyFont="1" applyFill="1" applyBorder="1" applyAlignment="1">
      <x:alignment horizontal="right" vertical="top" wrapText="1"/>
    </x:xf>
    <x:xf numFmtId="204" fontId="0" fillId="0" borderId="10" xfId="0" applyNumberFormat="1" applyFont="1" applyFill="1" applyBorder="1" applyAlignment="1">
      <x:alignment horizontal="right"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0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horizontal="right" vertical="top" wrapText="1"/>
    </x:xf>
    <x:xf numFmtId="201" fontId="0" fillId="0" borderId="0" xfId="0" applyNumberFormat="1" applyFont="1" applyFill="1" applyBorder="1" applyAlignment="1">
      <x:alignment horizontal="right" vertical="top" wrapText="1"/>
    </x:xf>
    <x:xf numFmtId="201" fontId="0" fillId="0" borderId="10" xfId="0" applyNumberFormat="1" applyFont="1" applyFill="1" applyBorder="1" applyAlignment="1">
      <x:alignment horizontal="right"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8" fillId="5" borderId="4" xfId="0" applyNumberFormat="1" applyFont="1" applyFill="1" applyBorder="1" applyAlignment="1">
      <x:alignment vertical="top" wrapText="1"/>
    </x:xf>
    <x:xf numFmtId="0" fontId="8" fillId="5" borderId="7" xfId="0" applyNumberFormat="1" applyFont="1" applyFill="1" applyBorder="1" applyAlignment="1">
      <x:alignment vertical="top" wrapText="1"/>
    </x:xf>
    <x:xf numFmtId="0" fontId="8" fillId="5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4" fillId="5" borderId="0" xfId="0" applyNumberFormat="1" applyFont="1" applyFill="1" applyBorder="1" applyAlignment="1">
      <x:alignment horizontal="center" wrapText="1"/>
    </x:xf>
    <x:xf numFmtId="200" fontId="4" fillId="5" borderId="0" xfId="0" applyNumberFormat="1" applyFont="1" applyFill="1" applyBorder="1" applyAlignment="1">
      <x:alignment horizontal="right" wrapText="1"/>
    </x:xf>
    <x:xf numFmtId="201" fontId="5" fillId="6" borderId="0" xfId="0" applyNumberFormat="1" applyFont="1" applyFill="1" applyBorder="1" applyAlignment="1">
      <x:alignment horizontal="right" wrapText="1"/>
    </x:xf>
    <x:xf numFmtId="202" fontId="5" fillId="6" borderId="0" xfId="0" applyNumberFormat="1" applyFont="1" applyFill="1" applyBorder="1" applyAlignment="1">
      <x:alignment horizontal="right" wrapText="1"/>
    </x:xf>
    <x:xf numFmtId="0" fontId="3" fillId="7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200" fontId="4" fillId="5" borderId="0" xfId="0" applyNumberFormat="1" applyFont="1" applyFill="1" applyBorder="1" applyAlignment="1">
      <x:alignment horizontal="right" vertical="top" wrapText="1"/>
    </x:xf>
    <x:xf numFmtId="201" fontId="5" fillId="6" borderId="0" xfId="0" applyNumberFormat="1" applyFont="1" applyFill="1" applyBorder="1" applyAlignment="1">
      <x:alignment horizontal="right" vertical="top" wrapText="1"/>
    </x:xf>
    <x:xf numFmtId="202" fontId="5" fillId="6" borderId="0" xfId="0" applyNumberFormat="1" applyFont="1" applyFill="1" applyBorder="1" applyAlignment="1">
      <x:alignment horizontal="right"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a5767f4114070" /><Relationship Type="http://schemas.openxmlformats.org/officeDocument/2006/relationships/theme" Target="/xl/theme/theme1.xml" Id="R4e37eb5deedb4c58" /><Relationship Type="http://schemas.microsoft.com/office/2022/11/relationships/FeaturePropertyBag" Target="/xl/featurePropertyBag/featurePropertyBag.xml" Id="R56de50b70e484de3" /><Relationship Type="http://schemas.openxmlformats.org/officeDocument/2006/relationships/sharedStrings" Target="/xl/sharedStrings.xml" Id="R10885b7b51cb4d88" /><Relationship Type="http://schemas.openxmlformats.org/officeDocument/2006/relationships/worksheet" Target="/xl/worksheets/sheet1.xml" Id="R9aaaed6c04ee4dab" /><Relationship Type="http://schemas.openxmlformats.org/officeDocument/2006/relationships/worksheet" Target="/xl/worksheets/sheet2.xml" Id="R69c6353c82984eb8" /><Relationship Type="http://schemas.openxmlformats.org/officeDocument/2006/relationships/worksheet" Target="/xl/worksheets/sheet3.xml" Id="R69b92d41830c4d87" /><Relationship Type="http://schemas.openxmlformats.org/officeDocument/2006/relationships/worksheet" Target="/xl/worksheets/sheet4.xml" Id="R798c3a46a7444eb6" /><Relationship Type="http://schemas.openxmlformats.org/officeDocument/2006/relationships/worksheet" Target="/xl/worksheets/sheet5.xml" Id="Re2be39d0678e4832" /><Relationship Type="http://schemas.openxmlformats.org/officeDocument/2006/relationships/worksheet" Target="/xl/worksheets/sheet6.xml" Id="R74961f75338240f2" /><Relationship Type="http://schemas.openxmlformats.org/officeDocument/2006/relationships/worksheet" Target="/xl/worksheets/sheet7.xml" Id="Rb57b7bc70e504f9b" /><Relationship Type="http://schemas.openxmlformats.org/officeDocument/2006/relationships/worksheet" Target="/xl/worksheets/sheet8.xml" Id="R8641dc86dbe94e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4" customHeight="1">
      <x:c r="A1" s="133" t="str">
        <x:v>Arborescence SEO - Boutique Coloriages Kawaii</x:v>
      </x:c>
      <x:c r="B1" s="133" t="str">
        <x:v>Arborescence SEO - Boutique Coloriages Kawaii</x:v>
      </x:c>
      <x:c r="C1" s="133" t="str">
        <x:v>Arborescence SEO - Boutique Coloriages Kawaii</x:v>
      </x:c>
      <x:c r="D1" s="133" t="str">
        <x:v>Arborescence SEO - Boutique Coloriages Kawaii</x:v>
      </x:c>
      <x:c r="E1" s="133" t="str">
        <x:v>Arborescence SEO - Boutique Coloriages Kawaii</x:v>
      </x:c>
      <x:c r="F1" s="133" t="str">
        <x:v>Arborescence SEO - Boutique Coloriages Kawaii</x:v>
      </x:c>
      <x:c r="G1" s="133" t="str">
        <x:v>Arborescence SEO - Boutique Coloriages Kawaii</x:v>
      </x:c>
      <x:c r="H1" s="133" t="str">
        <x:v>Arborescence SEO - Boutique Coloriages Kawaii</x:v>
      </x:c>
      <x:c r="I1" s="133" t="str">
        <x:v>Arborescence SEO - Boutique Coloriages Kawaii</x:v>
      </x:c>
      <x:c r="J1" s="133" t="str">
        <x:v>Arborescence SEO - Boutique Coloriages Kawaii</x:v>
      </x:c>
      <x:c r="K1" s="133" t="str">
        <x:v>Arborescence SEO - Boutique Coloriages Kawaii</x:v>
      </x:c>
      <x:c r="L1" s="133" t="str">
        <x:v>Arborescence SEO - Boutique Coloriages Kawaii</x:v>
      </x:c>
    </x:row>
    <x:row r="2">
      <x:c r="A2" s="134" t="str">
        <x:v>Structure de site avec collections basees sur des mots-cles Ahrefs. Chaque collection = un mot-cle cible.</x:v>
      </x:c>
      <x:c r="B2" s="134" t="str">
        <x:v>Structure de site avec collections basees sur des mots-cles Ahrefs. Chaque collection = un mot-cle cible.</x:v>
      </x:c>
      <x:c r="C2" s="134" t="str">
        <x:v>Structure de site avec collections basees sur des mots-cles Ahrefs. Chaque collection = un mot-cle cible.</x:v>
      </x:c>
      <x:c r="D2" s="134" t="str">
        <x:v>Structure de site avec collections basees sur des mots-cles Ahrefs. Chaque collection = un mot-cle cible.</x:v>
      </x:c>
      <x:c r="E2" s="134" t="str">
        <x:v>Structure de site avec collections basees sur des mots-cles Ahrefs. Chaque collection = un mot-cle cible.</x:v>
      </x:c>
      <x:c r="F2" s="134" t="str">
        <x:v>Structure de site avec collections basees sur des mots-cles Ahrefs. Chaque collection = un mot-cle cible.</x:v>
      </x:c>
      <x:c r="G2" s="134" t="str">
        <x:v>Structure de site avec collections basees sur des mots-cles Ahrefs. Chaque collection = un mot-cle cible.</x:v>
      </x:c>
      <x:c r="H2" s="134" t="str">
        <x:v>Structure de site avec collections basees sur des mots-cles Ahrefs. Chaque collection = un mot-cle cible.</x:v>
      </x:c>
      <x:c r="I2" s="134" t="str">
        <x:v>Structure de site avec collections basees sur des mots-cles Ahrefs. Chaque collection = un mot-cle cible.</x:v>
      </x:c>
      <x:c r="J2" s="134" t="str">
        <x:v>Structure de site avec collections basees sur des mots-cles Ahrefs. Chaque collection = un mot-cle cible.</x:v>
      </x:c>
      <x:c r="K2" s="134" t="str">
        <x:v>Structure de site avec collections basees sur des mots-cles Ahrefs. Chaque collection = un mot-cle cible.</x:v>
      </x:c>
      <x:c r="L2" s="134" t="str">
        <x:v>Structure de site avec collections basees sur des mots-cles Ahrefs. Chaque collection = un mot-cle cible.</x:v>
      </x:c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</x:row>
    <x:row r="4">
      <x:c r="A4" s="135" t="str">
        <x:v>Collections actives</x:v>
      </x:c>
      <x:c r="B4" s="136" t="str">
        <x:v>Volume SEO total</x:v>
      </x:c>
      <x:c r="C4" s="137" t="str">
        <x:v>SKU cible total</x:v>
      </x:c>
      <x:c r="D4" s="58"/>
      <x:c r="E4" s="135" t="str">
        <x:v>KD moyen pondere</x:v>
      </x:c>
      <x:c r="F4" s="136" t="str">
        <x:v>CPC moyen pondere</x:v>
      </x:c>
      <x:c r="G4" s="137" t="str">
        <x:v>Prix moyen cible</x:v>
      </x:c>
      <x:c r="H4" s="58"/>
      <x:c r="I4" s="58"/>
      <x:c r="J4" s="58"/>
      <x:c r="K4" s="58"/>
      <x:c r="L4" s="58"/>
    </x:row>
    <x:row r="5">
      <x:c r="A5" s="138" t="n">
        <x:f>COUNTIF(Collections!$D$4:$D$18,"Oui")</x:f>
        <x:v>15</x:v>
      </x:c>
      <x:c r="B5" s="139" t="n">
        <x:f>SUM(Collections!$F$4:$F$18)</x:f>
        <x:v>168300</x:v>
      </x:c>
      <x:c r="C5" s="139" t="n">
        <x:f>SUM(Collections!$K$4:$K$18)</x:f>
        <x:v>430</x:v>
      </x:c>
      <x:c r="D5" s="58"/>
      <x:c r="E5" s="140" t="n">
        <x:f>ROUND(SUMPRODUCT(Collections!$F$4:$F$18,Collections!$G$4:$G$18)/SUM(Collections!$F$4:$F$18),1)</x:f>
        <x:v>0.6</x:v>
      </x:c>
      <x:c r="F5" s="141" t="n">
        <x:f>ROUND(SUMPRODUCT(Collections!$F$4:$F$18,Collections!$H$4:$H$18)/SUMIF(Collections!$H$4:$H$18,"&gt;0",Collections!$F$4:$F$18),2)</x:f>
        <x:v>0.13</x:v>
      </x:c>
      <x:c r="G5" s="140" t="n">
        <x:f>ROUND(AVERAGE(Collections!$L$4:$L$18),1)</x:f>
        <x:v>24.8</x:v>
      </x:c>
      <x:c r="H5" s="58"/>
      <x:c r="I5" s="58"/>
      <x:c r="J5" s="58"/>
      <x:c r="K5" s="58"/>
      <x:c r="L5" s="58"/>
    </x:row>
    <x:row r="6">
      <x:c r="A6" s="58"/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</x:row>
    <x:row r="7">
      <x:c r="A7" s="58"/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</x:row>
    <x:row r="8">
      <x:c r="A8" s="142" t="str">
        <x:v>Roadmap recommandee</x:v>
      </x:c>
      <x:c r="B8" s="142" t="str">
        <x:v>Roadmap recommandee</x:v>
      </x:c>
      <x:c r="C8" s="142" t="str">
        <x:v>Roadmap recommandee</x:v>
      </x:c>
      <x:c r="D8" s="142" t="str">
        <x:v>Roadmap recommandee</x:v>
      </x:c>
      <x:c r="E8" s="142" t="str">
        <x:v>Roadmap recommandee</x:v>
      </x:c>
      <x:c r="F8" s="142" t="str">
        <x:v>Roadmap recommandee</x:v>
      </x:c>
      <x:c r="G8" s="142" t="str">
        <x:v>Roadmap recommandee</x:v>
      </x:c>
      <x:c r="H8" s="142" t="str">
        <x:v>Roadmap recommandee</x:v>
      </x:c>
      <x:c r="I8" s="142" t="str">
        <x:v>Roadmap recommandee</x:v>
      </x:c>
      <x:c r="J8" s="142" t="str">
        <x:v>Roadmap recommandee</x:v>
      </x:c>
      <x:c r="K8" s="142" t="str">
        <x:v>Roadmap recommandee</x:v>
      </x:c>
      <x:c r="L8" s="142" t="str">
        <x:v>Roadmap recommandee</x:v>
      </x:c>
    </x:row>
    <x:row r="9">
      <x:c r="A9" s="69" t="str">
        <x:v>1</x:v>
      </x:c>
      <x:c r="B9" s="72" t="str">
        <x:v>Lancer les collections P1</x:v>
      </x:c>
      <x:c r="C9" s="72" t="str">
        <x:v>Coloriage kawaii, adulte, magique, mystere, cosy et feutre acrylique.</x:v>
      </x:c>
      <x:c r="D9" s="55" t="str">
        <x:v>Objectif : capter les plus gros volumes avec des pages de collection solides et des bundles physiques.</x:v>
      </x:c>
      <x:c r="E9" s="55"/>
      <x:c r="F9" s="55"/>
      <x:c r="G9" s="55"/>
      <x:c r="H9" s="55"/>
      <x:c r="I9" s="55"/>
      <x:c r="J9" s="55"/>
      <x:c r="K9" s="55"/>
      <x:c r="L9" s="56"/>
    </x:row>
    <x:row r="10">
      <x:c r="A10" s="70" t="str">
        <x:v>2</x:v>
      </x:c>
      <x:c r="B10" s="73" t="str">
        <x:v>Construire 300+ SKU</x:v>
      </x:c>
      <x:c r="C10" s="73" t="str">
        <x:v>Repartir les SKU selon SKU_Plan, en commencant par les packs et kits a forte marge.</x:v>
      </x:c>
      <x:c r="D10" s="58" t="str">
        <x:v>Eviter les fichiers gratuits : vendre des objets physiques, lots et personnalisations.</x:v>
      </x:c>
      <x:c r="E10" s="58"/>
      <x:c r="F10" s="58"/>
      <x:c r="G10" s="58"/>
      <x:c r="H10" s="58"/>
      <x:c r="I10" s="58"/>
      <x:c r="J10" s="58"/>
      <x:c r="K10" s="58"/>
      <x:c r="L10" s="59"/>
    </x:row>
    <x:row r="11">
      <x:c r="A11" s="70" t="str">
        <x:v>3</x:v>
      </x:c>
      <x:c r="B11" s="73" t="str">
        <x:v>Maillage interne</x:v>
      </x:c>
      <x:c r="C11" s="73" t="str">
        <x:v>Chaque page P2 remonte vers coloriage kawaii et vers l'accessoire le plus logique.</x:v>
      </x:c>
      <x:c r="D11" s="58" t="str">
        <x:v>Ex : coloriage manga -&gt; feutre a alcool; coloriage cosy -&gt; marque page personnalise.</x:v>
      </x:c>
      <x:c r="E11" s="58"/>
      <x:c r="F11" s="58"/>
      <x:c r="G11" s="58"/>
      <x:c r="H11" s="58"/>
      <x:c r="I11" s="58"/>
      <x:c r="J11" s="58"/>
      <x:c r="K11" s="58"/>
      <x:c r="L11" s="59"/>
    </x:row>
    <x:row r="12">
      <x:c r="A12" s="70" t="str">
        <x:v>4</x:v>
      </x:c>
      <x:c r="B12" s="73" t="str">
        <x:v>Contenu SEO</x:v>
      </x:c>
      <x:c r="C12" s="73" t="str">
        <x:v>Ajouter guides courts sur les pages collection et 8-12 articles blog top-funnel.</x:v>
      </x:c>
      <x:c r="D12" s="58" t="str">
        <x:v>Blog uniquement pour alimenter les collections, pas comme destination principale.</x:v>
      </x:c>
      <x:c r="E12" s="58"/>
      <x:c r="F12" s="58"/>
      <x:c r="G12" s="58"/>
      <x:c r="H12" s="58"/>
      <x:c r="I12" s="58"/>
      <x:c r="J12" s="58"/>
      <x:c r="K12" s="58"/>
      <x:c r="L12" s="59"/>
    </x:row>
    <x:row r="13">
      <x:c r="A13" s="71" t="str">
        <x:v>5</x:v>
      </x:c>
      <x:c r="B13" s="74" t="str">
        <x:v>Sourcing</x:v>
      </x:c>
      <x:c r="C13" s="74" t="str">
        <x:v>Exclure les licences et personnages proteges.</x:v>
      </x:c>
      <x:c r="D13" s="61" t="str">
        <x:v>Utiliser des designs originaux kawaii, chibi, animaux, cocooning, football generique.</x:v>
      </x:c>
      <x:c r="E13" s="61"/>
      <x:c r="F13" s="61"/>
      <x:c r="G13" s="61"/>
      <x:c r="H13" s="61"/>
      <x:c r="I13" s="61"/>
      <x:c r="J13" s="61"/>
      <x:c r="K13" s="61"/>
      <x:c r="L13" s="62"/>
    </x:row>
    <x:row r="14">
      <x:c r="A14" s="58"/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</x:row>
    <x:row r="15">
      <x:c r="A15" s="58"/>
      <x:c r="B15" s="58"/>
      <x:c r="C15" s="58"/>
      <x:c r="D15" s="58"/>
      <x:c r="E15" s="58"/>
      <x:c r="F15" s="58"/>
      <x:c r="G15" s="58"/>
      <x:c r="H15" s="58"/>
      <x:c r="I15" s="58"/>
      <x:c r="J15" s="58"/>
      <x:c r="K15" s="58"/>
      <x:c r="L15" s="58"/>
    </x:row>
    <x:row r="16">
      <x:c r="A16" s="143" t="str">
        <x:v>Top collections a creer en premier</x:v>
      </x:c>
      <x:c r="B16" s="143" t="str">
        <x:v>Top collections a creer en premier</x:v>
      </x:c>
      <x:c r="C16" s="143" t="str">
        <x:v>Top collections a creer en premier</x:v>
      </x:c>
      <x:c r="D16" s="143" t="str">
        <x:v>Top collections a creer en premier</x:v>
      </x:c>
      <x:c r="E16" s="143" t="str">
        <x:v>Top collections a creer en premier</x:v>
      </x:c>
      <x:c r="F16" s="143" t="str">
        <x:v>Top collections a creer en premier</x:v>
      </x:c>
      <x:c r="G16" s="143" t="str">
        <x:v>Top collections a creer en premier</x:v>
      </x:c>
      <x:c r="H16" s="143" t="str">
        <x:v>Top collections a creer en premier</x:v>
      </x:c>
      <x:c r="I16" s="143" t="str">
        <x:v>Top collections a creer en premier</x:v>
      </x:c>
      <x:c r="J16" s="143" t="str">
        <x:v>Top collections a creer en premier</x:v>
      </x:c>
      <x:c r="K16" s="143" t="str">
        <x:v>Top collections a creer en premier</x:v>
      </x:c>
      <x:c r="L16" s="143" t="str">
        <x:v>Top collections a creer en premier</x:v>
      </x:c>
    </x:row>
    <x:row r="17">
      <x:c r="A17" s="135" t="str">
        <x:v>Priorite</x:v>
      </x:c>
      <x:c r="B17" s="136" t="str">
        <x:v>Collection = mot-cle</x:v>
      </x:c>
      <x:c r="C17" s="136" t="str">
        <x:v>Volume</x:v>
      </x:c>
      <x:c r="D17" s="136" t="str">
        <x:v>SKU cible</x:v>
      </x:c>
      <x:c r="E17" s="137" t="str">
        <x:v>Pourquoi</x:v>
      </x:c>
      <x:c r="F17" s="58"/>
      <x:c r="G17" s="58"/>
      <x:c r="H17" s="58"/>
      <x:c r="I17" s="58"/>
      <x:c r="J17" s="58"/>
      <x:c r="K17" s="58"/>
      <x:c r="L17" s="58"/>
    </x:row>
    <x:row r="18">
      <x:c r="A18" s="54" t="str">
        <x:v>P1</x:v>
      </x:c>
      <x:c r="B18" s="55" t="str">
        <x:v>coloriage kawaii</x:v>
      </x:c>
      <x:c r="C18" s="78" t="n">
        <x:v>38000</x:v>
      </x:c>
      <x:c r="D18" s="78" t="n">
        <x:v>45</x:v>
      </x:c>
      <x:c r="E18" s="56" t="str">
        <x:v>Page pilier et mot-cle exact-match de la marque.</x:v>
      </x:c>
      <x:c r="F18" s="58"/>
      <x:c r="G18" s="58"/>
      <x:c r="H18" s="58"/>
      <x:c r="I18" s="58"/>
      <x:c r="J18" s="58"/>
      <x:c r="K18" s="58"/>
      <x:c r="L18" s="58"/>
    </x:row>
    <x:row r="19">
      <x:c r="A19" s="57" t="str">
        <x:v>P1</x:v>
      </x:c>
      <x:c r="B19" s="58" t="str">
        <x:v>feutre acrylique</x:v>
      </x:c>
      <x:c r="C19" s="79" t="n">
        <x:v>33000</x:v>
      </x:c>
      <x:c r="D19" s="79" t="n">
        <x:v>40</x:v>
      </x:c>
      <x:c r="E19" s="59" t="str">
        <x:v>Accessoire a panier moyen et marge plus forte.</x:v>
      </x:c>
      <x:c r="F19" s="58"/>
      <x:c r="G19" s="58"/>
      <x:c r="H19" s="58"/>
      <x:c r="I19" s="58"/>
      <x:c r="J19" s="58"/>
      <x:c r="K19" s="58"/>
      <x:c r="L19" s="58"/>
    </x:row>
    <x:row r="20">
      <x:c r="A20" s="57" t="str">
        <x:v>P1</x:v>
      </x:c>
      <x:c r="B20" s="58" t="str">
        <x:v>coloriage adulte</x:v>
      </x:c>
      <x:c r="C20" s="79" t="n">
        <x:v>15000</x:v>
      </x:c>
      <x:c r="D20" s="79" t="n">
        <x:v>35</x:v>
      </x:c>
      <x:c r="E20" s="59" t="str">
        <x:v>Segment plus premium, bon pour bundles.</x:v>
      </x:c>
      <x:c r="F20" s="58"/>
      <x:c r="G20" s="58"/>
      <x:c r="H20" s="58"/>
      <x:c r="I20" s="58"/>
      <x:c r="J20" s="58"/>
      <x:c r="K20" s="58"/>
      <x:c r="L20" s="58"/>
    </x:row>
    <x:row r="21">
      <x:c r="A21" s="57" t="str">
        <x:v>P1</x:v>
      </x:c>
      <x:c r="B21" s="58" t="str">
        <x:v>coloriage magique</x:v>
      </x:c>
      <x:c r="C21" s="79" t="n">
        <x:v>13000</x:v>
      </x:c>
      <x:c r="D21" s="79" t="n">
        <x:v>30</x:v>
      </x:c>
      <x:c r="E21" s="59" t="str">
        <x:v>Giftable enfant, bonne intention produit.</x:v>
      </x:c>
      <x:c r="F21" s="58"/>
      <x:c r="G21" s="58"/>
      <x:c r="H21" s="58"/>
      <x:c r="I21" s="58"/>
      <x:c r="J21" s="58"/>
      <x:c r="K21" s="58"/>
      <x:c r="L21" s="58"/>
    </x:row>
    <x:row r="22">
      <x:c r="A22" s="60" t="str">
        <x:v>P1</x:v>
      </x:c>
      <x:c r="B22" s="61" t="str">
        <x:v>coloriage mystere</x:v>
      </x:c>
      <x:c r="C22" s="80" t="n">
        <x:v>12000</x:v>
      </x:c>
      <x:c r="D22" s="80" t="n">
        <x:v>30</x:v>
      </x:c>
      <x:c r="E22" s="62" t="str">
        <x:v>Angle ludique, retention et cross-sell.</x:v>
      </x:c>
      <x:c r="F22" s="58"/>
      <x:c r="G22" s="58"/>
      <x:c r="H22" s="58"/>
      <x:c r="I22" s="58"/>
      <x:c r="J22" s="58"/>
      <x:c r="K22" s="58"/>
      <x:c r="L22" s="58"/>
    </x:row>
    <x:row r="23">
      <x:c r="A23" s="58"/>
      <x:c r="B23" s="58"/>
      <x:c r="C23" s="58"/>
      <x:c r="D23" s="58"/>
      <x:c r="E23" s="58"/>
      <x:c r="F23" s="58"/>
      <x:c r="G23" s="58"/>
      <x:c r="H23" s="58"/>
      <x:c r="I23" s="58"/>
      <x:c r="J23" s="58"/>
      <x:c r="K23" s="58"/>
      <x:c r="L23" s="58"/>
    </x:row>
    <x:row r="24">
      <x:c r="A24" s="58"/>
      <x:c r="B24" s="58"/>
      <x:c r="C24" s="58"/>
      <x:c r="D24" s="58"/>
      <x:c r="E24" s="58"/>
      <x:c r="F24" s="58"/>
      <x:c r="G24" s="58"/>
      <x:c r="H24" s="58"/>
      <x:c r="I24" s="58"/>
      <x:c r="J24" s="58"/>
      <x:c r="K24" s="58"/>
      <x:c r="L24" s="58"/>
    </x:row>
    <x:row r="25">
      <x:c r="A25" s="142" t="str">
        <x:v>Veille concurrentielle - pure players spécialisés</x:v>
      </x:c>
      <x:c r="B25" s="142" t="str">
        <x:v>Veille concurrentielle - pure players spécialisés</x:v>
      </x:c>
      <x:c r="C25" s="142" t="str">
        <x:v>Veille concurrentielle - pure players spécialisés</x:v>
      </x:c>
      <x:c r="D25" s="142" t="str">
        <x:v>Veille concurrentielle - pure players spécialisés</x:v>
      </x:c>
      <x:c r="E25" s="142" t="str">
        <x:v>Veille concurrentielle - pure players spécialisés</x:v>
      </x:c>
      <x:c r="F25" s="142" t="str">
        <x:v>Veille concurrentielle - pure players spécialisés</x:v>
      </x:c>
      <x:c r="G25" s="142" t="str">
        <x:v>Veille concurrentielle - pure players spécialisés</x:v>
      </x:c>
      <x:c r="H25" s="142" t="str">
        <x:v>Veille concurrentielle - pure players spécialisés</x:v>
      </x:c>
      <x:c r="I25" s="142" t="str">
        <x:v>Veille concurrentielle - pure players spécialisés</x:v>
      </x:c>
      <x:c r="J25" s="142" t="str">
        <x:v>Veille concurrentielle - pure players spécialisés</x:v>
      </x:c>
      <x:c r="K25" s="142" t="str">
        <x:v>Veille concurrentielle - pure players spécialisés</x:v>
      </x:c>
      <x:c r="L25" s="142" t="str">
        <x:v>Veille concurrentielle - pure players spécialisés</x:v>
      </x:c>
    </x:row>
    <x:row r="26">
      <x:c r="A26" s="135" t="str">
        <x:v>Concurrents qualifiés</x:v>
      </x:c>
      <x:c r="B26" s="136" t="str">
        <x:v>Sites français inclus</x:v>
      </x:c>
      <x:c r="C26" s="136" t="str">
        <x:v>Menaces hautes</x:v>
      </x:c>
      <x:c r="D26" s="137" t="str">
        <x:v>Faux positifs exclus</x:v>
      </x:c>
      <x:c r="E26" s="58"/>
      <x:c r="F26" s="58"/>
      <x:c r="G26" s="58"/>
      <x:c r="H26" s="58"/>
      <x:c r="I26" s="58"/>
      <x:c r="J26" s="58"/>
      <x:c r="K26" s="58"/>
      <x:c r="L26" s="58"/>
    </x:row>
    <x:row r="27">
      <x:c r="A27" s="144" t="n">
        <x:f>COUNTA('Concurrents'!$A$4:$A$17)</x:f>
        <x:v>14</x:v>
      </x:c>
      <x:c r="B27" s="144" t="n">
        <x:f>COUNTIF('Concurrents'!$C$4:$C$17,"France / français")+COUNTIF('Concurrents'!$C$4:$C$17,"France / français-anglais")</x:f>
        <x:v>3</x:v>
      </x:c>
      <x:c r="C27" s="144" t="n">
        <x:f>COUNTIF('Concurrents'!$M$4:$M$17,"Haute")</x:f>
        <x:v>3</x:v>
      </x:c>
      <x:c r="D27" s="144" t="n">
        <x:f>COUNTA('Concurrents'!$A$22:$A$32)</x:f>
        <x:v>11</x:v>
      </x:c>
      <x:c r="E27" s="58"/>
      <x:c r="F27" s="58"/>
      <x:c r="G27" s="58"/>
      <x:c r="H27" s="58"/>
      <x:c r="I27" s="58"/>
      <x:c r="J27" s="58"/>
      <x:c r="K27" s="58"/>
      <x:c r="L27" s="58"/>
    </x:row>
    <x:row r="28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</x:row>
    <x:row r="29">
      <x:c r="A29" s="145" t="str">
        <x:v>Espace FR encore peu occupé : AICrayons et MyCuttieBox sont les plus proches localement; Belly Bean et Bobbie Goods sont les menaces internationales, Cozykleuren le meilleur modèle de catalogue.</x:v>
      </x:c>
      <x:c r="B29" s="145" t="str">
        <x:v>Espace FR encore peu occupé : AICrayons et MyCuttieBox sont les plus proches localement; Belly Bean et Bobbie Goods sont les menaces internationales, Cozykleuren le meilleur modèle de catalogue.</x:v>
      </x:c>
      <x:c r="C29" s="145" t="str">
        <x:v>Espace FR encore peu occupé : AICrayons et MyCuttieBox sont les plus proches localement; Belly Bean et Bobbie Goods sont les menaces internationales, Cozykleuren le meilleur modèle de catalogue.</x:v>
      </x:c>
      <x:c r="D29" s="145" t="str">
        <x:v>Espace FR encore peu occupé : AICrayons et MyCuttieBox sont les plus proches localement; Belly Bean et Bobbie Goods sont les menaces internationales, Cozykleuren le meilleur modèle de catalogue.</x:v>
      </x:c>
      <x:c r="E29" s="145" t="str">
        <x:v>Espace FR encore peu occupé : AICrayons et MyCuttieBox sont les plus proches localement; Belly Bean et Bobbie Goods sont les menaces internationales, Cozykleuren le meilleur modèle de catalogue.</x:v>
      </x:c>
      <x:c r="F29" s="145" t="str">
        <x:v>Espace FR encore peu occupé : AICrayons et MyCuttieBox sont les plus proches localement; Belly Bean et Bobbie Goods sont les menaces internationales, Cozykleuren le meilleur modèle de catalogue.</x:v>
      </x:c>
      <x:c r="G29" s="145" t="str">
        <x:v>Espace FR encore peu occupé : AICrayons et MyCuttieBox sont les plus proches localement; Belly Bean et Bobbie Goods sont les menaces internationales, Cozykleuren le meilleur modèle de catalogue.</x:v>
      </x:c>
      <x:c r="H29" s="145" t="str">
        <x:v>Espace FR encore peu occupé : AICrayons et MyCuttieBox sont les plus proches localement; Belly Bean et Bobbie Goods sont les menaces internationales, Cozykleuren le meilleur modèle de catalogue.</x:v>
      </x:c>
      <x:c r="I29" s="145" t="str">
        <x:v>Espace FR encore peu occupé : AICrayons et MyCuttieBox sont les plus proches localement; Belly Bean et Bobbie Goods sont les menaces internationales, Cozykleuren le meilleur modèle de catalogue.</x:v>
      </x:c>
      <x:c r="J29" s="145" t="str">
        <x:v>Espace FR encore peu occupé : AICrayons et MyCuttieBox sont les plus proches localement; Belly Bean et Bobbie Goods sont les menaces internationales, Cozykleuren le meilleur modèle de catalogue.</x:v>
      </x:c>
      <x:c r="K29" s="145" t="str">
        <x:v>Espace FR encore peu occupé : AICrayons et MyCuttieBox sont les plus proches localement; Belly Bean et Bobbie Goods sont les menaces internationales, Cozykleuren le meilleur modèle de catalogue.</x:v>
      </x:c>
      <x:c r="L29" s="145" t="str">
        <x:v>Espace FR encore peu occupé : AICrayons et MyCuttieBox sont les plus proches localement; Belly Bean et Bobbie Goods sont les menaces internationales, Cozykleuren le meilleur modèle de catalogue.</x:v>
      </x:c>
    </x:row>
  </x:sheetData>
  <x:mergeCells>
    <x:mergeCell ref="A1:L1"/>
    <x:mergeCell ref="A2:L2"/>
    <x:mergeCell ref="A8:L8"/>
    <x:mergeCell ref="D9:L9"/>
    <x:mergeCell ref="D10:L10"/>
    <x:mergeCell ref="D11:L11"/>
    <x:mergeCell ref="D12:L12"/>
    <x:mergeCell ref="D13:L13"/>
    <x:mergeCell ref="A16:L16"/>
    <x:mergeCell ref="A25:L25"/>
    <x:mergeCell ref="A29:L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22" hidden="0" customWidth="1"/>
    <x:col min="4" max="4" width="28" hidden="0" customWidth="1"/>
    <x:col min="5" max="5" width="34" hidden="0" customWidth="1"/>
    <x:col min="6" max="6" width="2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34" hidden="0" customWidth="1"/>
    <x:col min="14" max="14" width="36" hidden="0" customWidth="1"/>
    <x:col min="15" max="15" width="54" hidden="0" customWidth="1"/>
    <x:col min="16" max="16" width="36" hidden="0" customWidth="1"/>
    <x:col min="17" max="17" width="50" hidden="0" customWidth="1"/>
  </x:cols>
  <x:sheetData>
    <x:row r="1" ht="34" customHeight="1">
      <x:c r="A1" s="133" t="str">
        <x:v>Arborescence de site - Coloriages Kawaii</x:v>
      </x:c>
      <x:c r="B1" s="133" t="str">
        <x:v>Arborescence de site - Coloriages Kawaii</x:v>
      </x:c>
      <x:c r="C1" s="133" t="str">
        <x:v>Arborescence de site - Coloriages Kawaii</x:v>
      </x:c>
      <x:c r="D1" s="133" t="str">
        <x:v>Arborescence de site - Coloriages Kawaii</x:v>
      </x:c>
      <x:c r="E1" s="133" t="str">
        <x:v>Arborescence de site - Coloriages Kawaii</x:v>
      </x:c>
      <x:c r="F1" s="133" t="str">
        <x:v>Arborescence de site - Coloriages Kawaii</x:v>
      </x:c>
      <x:c r="G1" s="133" t="str">
        <x:v>Arborescence de site - Coloriages Kawaii</x:v>
      </x:c>
      <x:c r="H1" s="133" t="str">
        <x:v>Arborescence de site - Coloriages Kawaii</x:v>
      </x:c>
      <x:c r="I1" s="133" t="str">
        <x:v>Arborescence de site - Coloriages Kawaii</x:v>
      </x:c>
      <x:c r="J1" s="133" t="str">
        <x:v>Arborescence de site - Coloriages Kawaii</x:v>
      </x:c>
      <x:c r="K1" s="133" t="str">
        <x:v>Arborescence de site - Coloriages Kawaii</x:v>
      </x:c>
      <x:c r="L1" s="133" t="str">
        <x:v>Arborescence de site - Coloriages Kawaii</x:v>
      </x:c>
      <x:c r="M1" s="133" t="str">
        <x:v>Arborescence de site - Coloriages Kawaii</x:v>
      </x:c>
      <x:c r="N1" s="133" t="str">
        <x:v>Arborescence de site - Coloriages Kawaii</x:v>
      </x:c>
      <x:c r="O1" s="133" t="str">
        <x:v>Arborescence de site - Coloriages Kawaii</x:v>
      </x:c>
      <x:c r="P1" s="133" t="str">
        <x:v>Arborescence de site - Coloriages Kawaii</x:v>
      </x:c>
      <x:c r="Q1" s="133" t="str">
        <x:v>Arborescence de site - Coloriages Kawaii</x:v>
      </x:c>
    </x:row>
    <x:row r="2">
      <x:c r="A2" s="58"/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</x:row>
    <x:row r="3">
      <x:c r="A3" s="135" t="str">
        <x:v>Niveau</x:v>
      </x:c>
      <x:c r="B3" s="136" t="str">
        <x:v>Type page</x:v>
      </x:c>
      <x:c r="C3" s="136" t="str">
        <x:v>Parent</x:v>
      </x:c>
      <x:c r="D3" s="136" t="str">
        <x:v>Collection = mot-cle</x:v>
      </x:c>
      <x:c r="E3" s="136" t="str">
        <x:v>URL</x:v>
      </x:c>
      <x:c r="F3" s="136" t="str">
        <x:v>H1</x:v>
      </x:c>
      <x:c r="G3" s="136" t="str">
        <x:v>Volume FR</x:v>
      </x:c>
      <x:c r="H3" s="136" t="str">
        <x:v>KD</x:v>
      </x:c>
      <x:c r="I3" s="136" t="str">
        <x:v>CPC</x:v>
      </x:c>
      <x:c r="J3" s="136" t="str">
        <x:v>Intention</x:v>
      </x:c>
      <x:c r="K3" s="136" t="str">
        <x:v>Priorite</x:v>
      </x:c>
      <x:c r="L3" s="136" t="str">
        <x:v>SKU cible</x:v>
      </x:c>
      <x:c r="M3" s="136" t="str">
        <x:v>Role SEO</x:v>
      </x:c>
      <x:c r="N3" s="136" t="str">
        <x:v>Meta title</x:v>
      </x:c>
      <x:c r="O3" s="136" t="str">
        <x:v>Meta description</x:v>
      </x:c>
      <x:c r="P3" s="136" t="str">
        <x:v>Maillage interne</x:v>
      </x:c>
      <x:c r="Q3" s="137" t="str">
        <x:v>Notes</x:v>
      </x:c>
    </x:row>
    <x:row r="4">
      <x:c r="A4" s="54" t="n">
        <x:v>0</x:v>
      </x:c>
      <x:c r="B4" s="55" t="str">
        <x:v>Accueil / hub marque</x:v>
      </x:c>
      <x:c r="C4" s="55" t="str">
        <x:v>-</x:v>
      </x:c>
      <x:c r="D4" s="55" t="str">
        <x:v>coloriage kawaii</x:v>
      </x:c>
      <x:c r="E4" s="55" t="str">
        <x:v>/</x:v>
      </x:c>
      <x:c r="F4" s="55" t="str">
        <x:v>Coloriage Kawaii</x:v>
      </x:c>
      <x:c r="G4" s="78" t="n">
        <x:v>38000</x:v>
      </x:c>
      <x:c r="H4" s="86" t="n">
        <x:v>1</x:v>
      </x:c>
      <x:c r="I4" s="92" t="n">
        <x:v>0.06</x:v>
      </x:c>
      <x:c r="J4" s="55" t="str">
        <x:v>Marque + commerciale</x:v>
      </x:c>
      <x:c r="K4" s="55" t="str">
        <x:v>P1</x:v>
      </x:c>
      <x:c r="L4" s="78" t="n">
        <x:v>0</x:v>
      </x:c>
      <x:c r="M4" s="55" t="str">
        <x:v>Page d'entree marque, rassurance, best-sellers et collections P1.</x:v>
      </x:c>
      <x:c r="N4" s="55" t="str">
        <x:v>Coloriage Kawaii | Kits, carnets et feutres mignons</x:v>
      </x:c>
      <x:c r="O4" s="55" t="str">
        <x:v>Boutique de coloriages kawaii, carnets creatifs, feutres et kits cadeaux pour enfants et adultes.</x:v>
      </x:c>
      <x:c r="P4" s="55" t="str">
        <x:v>Liens directs vers toutes les collections P1 et accessoires.</x:v>
      </x:c>
      <x:c r="Q4" s="56" t="str">
        <x:v>Ne pas surcharger en texte : montrer les produits et bundles.</x:v>
      </x:c>
    </x:row>
    <x:row r="5">
      <x:c r="A5" s="57" t="n">
        <x:v>1</x:v>
      </x:c>
      <x:c r="B5" s="58" t="str">
        <x:v>Hub menu non-collection</x:v>
      </x:c>
      <x:c r="C5" s="58" t="str">
        <x:v>/</x:v>
      </x:c>
      <x:c r="D5" s="58" t="str"/>
      <x:c r="E5" s="58" t="str">
        <x:v>/univers/coloriage-kawaii</x:v>
      </x:c>
      <x:c r="F5" s="58" t="str">
        <x:v>Coloriages kawaii</x:v>
      </x:c>
      <x:c r="G5" s="79" t="str"/>
      <x:c r="H5" s="87" t="str"/>
      <x:c r="I5" s="93" t="str"/>
      <x:c r="J5" s="58" t="str">
        <x:v>Navigation</x:v>
      </x:c>
      <x:c r="K5" s="58" t="str"/>
      <x:c r="L5" s="79" t="str"/>
      <x:c r="M5" s="58" t="str">
        <x:v>Regroupe les collections sans cannibaliser les mots-cles exacts.</x:v>
      </x:c>
      <x:c r="N5" s="58" t="str">
        <x:v>Coloriages kawaii</x:v>
      </x:c>
      <x:c r="O5" s="58" t="str">
        <x:v>Selection coloriages pour orienter le visiteur vers les collections.</x:v>
      </x:c>
      <x:c r="P5" s="58" t="str">
        <x:v>Liens vers collections du meme pilier.</x:v>
      </x:c>
      <x:c r="Q5" s="59" t="str">
        <x:v>Menu principal</x:v>
      </x:c>
    </x:row>
    <x:row r="6">
      <x:c r="A6" s="57" t="n">
        <x:v>1</x:v>
      </x:c>
      <x:c r="B6" s="58" t="str">
        <x:v>Hub menu non-collection</x:v>
      </x:c>
      <x:c r="C6" s="58" t="str">
        <x:v>/</x:v>
      </x:c>
      <x:c r="D6" s="58" t="str"/>
      <x:c r="E6" s="58" t="str">
        <x:v>/univers/feutre-acrylique</x:v>
      </x:c>
      <x:c r="F6" s="58" t="str">
        <x:v>Feutres et accessoires</x:v>
      </x:c>
      <x:c r="G6" s="79" t="str"/>
      <x:c r="H6" s="87" t="str"/>
      <x:c r="I6" s="93" t="str"/>
      <x:c r="J6" s="58" t="str">
        <x:v>Navigation</x:v>
      </x:c>
      <x:c r="K6" s="58" t="str"/>
      <x:c r="L6" s="79" t="str"/>
      <x:c r="M6" s="58" t="str">
        <x:v>Regroupe les collections sans cannibaliser les mots-cles exacts.</x:v>
      </x:c>
      <x:c r="N6" s="58" t="str">
        <x:v>Feutres et accessoires</x:v>
      </x:c>
      <x:c r="O6" s="58" t="str">
        <x:v>Selection accessoires pour orienter le visiteur vers les collections.</x:v>
      </x:c>
      <x:c r="P6" s="58" t="str">
        <x:v>Liens vers collections du meme pilier.</x:v>
      </x:c>
      <x:c r="Q6" s="59" t="str">
        <x:v>Menu principal</x:v>
      </x:c>
    </x:row>
    <x:row r="7">
      <x:c r="A7" s="57" t="n">
        <x:v>1</x:v>
      </x:c>
      <x:c r="B7" s="58" t="str">
        <x:v>Hub menu non-collection</x:v>
      </x:c>
      <x:c r="C7" s="58" t="str">
        <x:v>/</x:v>
      </x:c>
      <x:c r="D7" s="58" t="str"/>
      <x:c r="E7" s="58" t="str">
        <x:v>/univers/diamond-painting-personnalise</x:v>
      </x:c>
      <x:c r="F7" s="58" t="str">
        <x:v>Cadeaux creatifs</x:v>
      </x:c>
      <x:c r="G7" s="79" t="str"/>
      <x:c r="H7" s="87" t="str"/>
      <x:c r="I7" s="93" t="str"/>
      <x:c r="J7" s="58" t="str">
        <x:v>Navigation</x:v>
      </x:c>
      <x:c r="K7" s="58" t="str"/>
      <x:c r="L7" s="79" t="str"/>
      <x:c r="M7" s="58" t="str">
        <x:v>Regroupe les collections sans cannibaliser les mots-cles exacts.</x:v>
      </x:c>
      <x:c r="N7" s="58" t="str">
        <x:v>Cadeaux creatifs</x:v>
      </x:c>
      <x:c r="O7" s="58" t="str">
        <x:v>Selection cadeaux creatifs pour orienter le visiteur vers les collections.</x:v>
      </x:c>
      <x:c r="P7" s="58" t="str">
        <x:v>Liens vers collections du meme pilier.</x:v>
      </x:c>
      <x:c r="Q7" s="59" t="str">
        <x:v>Menu principal</x:v>
      </x:c>
    </x:row>
    <x:row r="8">
      <x:c r="A8" s="57" t="n">
        <x:v>2</x:v>
      </x:c>
      <x:c r="B8" s="58" t="str">
        <x:v>Collection</x:v>
      </x:c>
      <x:c r="C8" s="58" t="str">
        <x:v>/univers/coloriages</x:v>
      </x:c>
      <x:c r="D8" s="58" t="str">
        <x:v>coloriage kawaii</x:v>
      </x:c>
      <x:c r="E8" s="58" t="str">
        <x:v>/collections/coloriage-kawaii</x:v>
      </x:c>
      <x:c r="F8" s="58" t="str">
        <x:v>Coloriage Kawaii</x:v>
      </x:c>
      <x:c r="G8" s="79" t="n">
        <x:v>38000</x:v>
      </x:c>
      <x:c r="H8" s="87" t="n">
        <x:v>1</x:v>
      </x:c>
      <x:c r="I8" s="93" t="n">
        <x:v>0.06</x:v>
      </x:c>
      <x:c r="J8" s="58" t="str">
        <x:v>Transactionnelle</x:v>
      </x:c>
      <x:c r="K8" s="58" t="str">
        <x:v>P1</x:v>
      </x:c>
      <x:c r="L8" s="79" t="n">
        <x:v>45</x:v>
      </x:c>
      <x:c r="M8" s="58" t="str">
        <x:v>Collection pilier SEO et commerciale</x:v>
      </x:c>
      <x:c r="N8" s="58" t="str">
        <x:v>coloriage kawaii | Kits et carnets kawaii</x:v>
      </x:c>
      <x:c r="O8" s="58" t="str">
        <x:v>Découvrez notre collection coloriage kawaii : carnets, kits et accessoires créatifs pour une boutique coloriage kawaii.</x:v>
      </x:c>
      <x:c r="P8" s="58" t="str">
        <x:v>Depuis accueil + menu + collections P2 liees</x:v>
      </x:c>
      <x:c r="Q8" s="59" t="str">
        <x:v>Livres, carnets, packs imprimés, bundles découverte. Page mère à mailler vers tous les thèmes kawaii.</x:v>
      </x:c>
    </x:row>
    <x:row r="9">
      <x:c r="A9" s="57" t="n">
        <x:v>2</x:v>
      </x:c>
      <x:c r="B9" s="58" t="str">
        <x:v>Collection</x:v>
      </x:c>
      <x:c r="C9" s="58" t="str">
        <x:v>/univers/coloriages</x:v>
      </x:c>
      <x:c r="D9" s="58" t="str">
        <x:v>coloriage adulte</x:v>
      </x:c>
      <x:c r="E9" s="58" t="str">
        <x:v>/collections/coloriage-adulte</x:v>
      </x:c>
      <x:c r="F9" s="58" t="str">
        <x:v>Coloriage Adulte</x:v>
      </x:c>
      <x:c r="G9" s="79" t="n">
        <x:v>15000</x:v>
      </x:c>
      <x:c r="H9" s="87" t="n">
        <x:v>0</x:v>
      </x:c>
      <x:c r="I9" s="93" t="n">
        <x:v>0.1</x:v>
      </x:c>
      <x:c r="J9" s="58" t="str">
        <x:v>Commerciale</x:v>
      </x:c>
      <x:c r="K9" s="58" t="str">
        <x:v>P1</x:v>
      </x:c>
      <x:c r="L9" s="79" t="n">
        <x:v>35</x:v>
      </x:c>
      <x:c r="M9" s="58" t="str">
        <x:v>Segment panier plus élevé</x:v>
      </x:c>
      <x:c r="N9" s="58" t="str">
        <x:v>coloriage adulte | Kits et carnets kawaii</x:v>
      </x:c>
      <x:c r="O9" s="58" t="str">
        <x:v>Découvrez notre collection coloriage adulte : carnets, kits et accessoires créatifs pour une boutique coloriage kawaii.</x:v>
      </x:c>
      <x:c r="P9" s="58" t="str">
        <x:v>Depuis accueil + menu + collections P2 liees</x:v>
      </x:c>
      <x:c r="Q9" s="59" t="str">
        <x:v>Cahiers anti-stress, mandalas kawaii, carnets premium papier épais, packs feutres + livre.</x:v>
      </x:c>
    </x:row>
    <x:row r="10">
      <x:c r="A10" s="57" t="n">
        <x:v>2</x:v>
      </x:c>
      <x:c r="B10" s="58" t="str">
        <x:v>Collection</x:v>
      </x:c>
      <x:c r="C10" s="58" t="str">
        <x:v>/univers/coloriages</x:v>
      </x:c>
      <x:c r="D10" s="58" t="str">
        <x:v>coloriage magique</x:v>
      </x:c>
      <x:c r="E10" s="58" t="str">
        <x:v>/collections/coloriage-magique</x:v>
      </x:c>
      <x:c r="F10" s="58" t="str">
        <x:v>Coloriage Magique</x:v>
      </x:c>
      <x:c r="G10" s="79" t="n">
        <x:v>13000</x:v>
      </x:c>
      <x:c r="H10" s="87" t="n">
        <x:v>3</x:v>
      </x:c>
      <x:c r="I10" s="93" t="n">
        <x:v>0.08</x:v>
      </x:c>
      <x:c r="J10" s="58" t="str">
        <x:v>Commerciale</x:v>
      </x:c>
      <x:c r="K10" s="58" t="str">
        <x:v>P1</x:v>
      </x:c>
      <x:c r="L10" s="79" t="n">
        <x:v>30</x:v>
      </x:c>
      <x:c r="M10" s="58" t="str">
        <x:v>Collection enfant/giftable</x:v>
      </x:c>
      <x:c r="N10" s="58" t="str">
        <x:v>coloriage magique | Kits et carnets kawaii</x:v>
      </x:c>
      <x:c r="O10" s="58" t="str">
        <x:v>Découvrez notre collection coloriage magique : carnets, kits et accessoires créatifs pour une boutique coloriage kawaii.</x:v>
      </x:c>
      <x:c r="P10" s="58" t="str">
        <x:v>Depuis accueil + menu + collections P2 liees</x:v>
      </x:c>
      <x:c r="Q10" s="59" t="str">
        <x:v>Livres à révélation, feutres magiques, cahiers effaçables, packs cadeaux anniversaire.</x:v>
      </x:c>
    </x:row>
    <x:row r="11">
      <x:c r="A11" s="57" t="n">
        <x:v>2</x:v>
      </x:c>
      <x:c r="B11" s="58" t="str">
        <x:v>Collection</x:v>
      </x:c>
      <x:c r="C11" s="58" t="str">
        <x:v>/univers/coloriages</x:v>
      </x:c>
      <x:c r="D11" s="58" t="str">
        <x:v>coloriage mystere</x:v>
      </x:c>
      <x:c r="E11" s="58" t="str">
        <x:v>/collections/coloriage-mystere</x:v>
      </x:c>
      <x:c r="F11" s="58" t="str">
        <x:v>Coloriage Mystere</x:v>
      </x:c>
      <x:c r="G11" s="79" t="n">
        <x:v>12000</x:v>
      </x:c>
      <x:c r="H11" s="87" t="n">
        <x:v>0</x:v>
      </x:c>
      <x:c r="I11" s="93" t="n">
        <x:v>0.09</x:v>
      </x:c>
      <x:c r="J11" s="58" t="str">
        <x:v>Transactionnelle</x:v>
      </x:c>
      <x:c r="K11" s="58" t="str">
        <x:v>P1</x:v>
      </x:c>
      <x:c r="L11" s="79" t="n">
        <x:v>30</x:v>
      </x:c>
      <x:c r="M11" s="58" t="str">
        <x:v>Angle découverte et retention</x:v>
      </x:c>
      <x:c r="N11" s="58" t="str">
        <x:v>coloriage mystere | Kits et carnets kawaii</x:v>
      </x:c>
      <x:c r="O11" s="58" t="str">
        <x:v>Découvrez notre collection coloriage mystere : carnets, kits et accessoires créatifs pour une boutique coloriage kawaii.</x:v>
      </x:c>
      <x:c r="P11" s="58" t="str">
        <x:v>Depuis accueil + menu + collections P2 liees</x:v>
      </x:c>
      <x:c r="Q11" s="59" t="str">
        <x:v>Coloriages mystères par numéros, pixels kawaii, animaux cachés, cartes surprises.</x:v>
      </x:c>
    </x:row>
    <x:row r="12">
      <x:c r="A12" s="57" t="n">
        <x:v>2</x:v>
      </x:c>
      <x:c r="B12" s="58" t="str">
        <x:v>Collection</x:v>
      </x:c>
      <x:c r="C12" s="58" t="str">
        <x:v>/univers/coloriages</x:v>
      </x:c>
      <x:c r="D12" s="58" t="str">
        <x:v>coloriage cosy</x:v>
      </x:c>
      <x:c r="E12" s="58" t="str">
        <x:v>/collections/coloriage-cosy</x:v>
      </x:c>
      <x:c r="F12" s="58" t="str">
        <x:v>Coloriage Cosy</x:v>
      </x:c>
      <x:c r="G12" s="79" t="n">
        <x:v>9200</x:v>
      </x:c>
      <x:c r="H12" s="87" t="n">
        <x:v>0</x:v>
      </x:c>
      <x:c r="I12" s="93" t="n">
        <x:v>0.11</x:v>
      </x:c>
      <x:c r="J12" s="58" t="str">
        <x:v>Commerciale</x:v>
      </x:c>
      <x:c r="K12" s="58" t="str">
        <x:v>P1</x:v>
      </x:c>
      <x:c r="L12" s="79" t="n">
        <x:v>30</x:v>
      </x:c>
      <x:c r="M12" s="58" t="str">
        <x:v>Positionnement marque cosy</x:v>
      </x:c>
      <x:c r="N12" s="58" t="str">
        <x:v>coloriage cosy | Kits et carnets kawaii</x:v>
      </x:c>
      <x:c r="O12" s="58" t="str">
        <x:v>Découvrez notre collection coloriage cosy : carnets, kits et accessoires créatifs pour une boutique coloriage kawaii.</x:v>
      </x:c>
      <x:c r="P12" s="58" t="str">
        <x:v>Depuis accueil + menu + collections P2 liees</x:v>
      </x:c>
      <x:c r="Q12" s="59" t="str">
        <x:v>Univers cocooning : chats, thé, maison, automne, journaling, packs relaxation.</x:v>
      </x:c>
    </x:row>
    <x:row r="13">
      <x:c r="A13" s="57" t="n">
        <x:v>2</x:v>
      </x:c>
      <x:c r="B13" s="58" t="str">
        <x:v>Collection</x:v>
      </x:c>
      <x:c r="C13" s="58" t="str">
        <x:v>/univers/coloriages</x:v>
      </x:c>
      <x:c r="D13" s="58" t="str">
        <x:v>coloriage manga</x:v>
      </x:c>
      <x:c r="E13" s="58" t="str">
        <x:v>/collections/coloriage-manga</x:v>
      </x:c>
      <x:c r="F13" s="58" t="str">
        <x:v>Coloriage Manga</x:v>
      </x:c>
      <x:c r="G13" s="79" t="n">
        <x:v>7000</x:v>
      </x:c>
      <x:c r="H13" s="87" t="n">
        <x:v>0</x:v>
      </x:c>
      <x:c r="I13" s="93" t="n">
        <x:v>0.07</x:v>
      </x:c>
      <x:c r="J13" s="58" t="str">
        <x:v>Commerciale</x:v>
      </x:c>
      <x:c r="K13" s="58" t="str">
        <x:v>P2</x:v>
      </x:c>
      <x:c r="L13" s="79" t="n">
        <x:v>25</x:v>
      </x:c>
      <x:c r="M13" s="58" t="str">
        <x:v>Trafic passion mais IP-safe</x:v>
      </x:c>
      <x:c r="N13" s="58" t="str">
        <x:v>coloriage manga | Kits et carnets kawaii</x:v>
      </x:c>
      <x:c r="O13" s="58" t="str">
        <x:v>Découvrez notre collection coloriage manga : carnets, kits et accessoires créatifs pour une boutique coloriage kawaii.</x:v>
      </x:c>
      <x:c r="P13" s="58" t="str">
        <x:v>Depuis page pilier + recommandations produits</x:v>
      </x:c>
      <x:c r="Q13" s="59" t="str">
        <x:v>Personnages originaux manga/chibi, expressions, tenues, cahiers apprentissage dessin.</x:v>
      </x:c>
    </x:row>
    <x:row r="14">
      <x:c r="A14" s="57" t="n">
        <x:v>2</x:v>
      </x:c>
      <x:c r="B14" s="58" t="str">
        <x:v>Collection</x:v>
      </x:c>
      <x:c r="C14" s="58" t="str">
        <x:v>/univers/coloriages</x:v>
      </x:c>
      <x:c r="D14" s="58" t="str">
        <x:v>coloriage foot</x:v>
      </x:c>
      <x:c r="E14" s="58" t="str">
        <x:v>/collections/coloriage-foot</x:v>
      </x:c>
      <x:c r="F14" s="58" t="str">
        <x:v>Coloriage Foot</x:v>
      </x:c>
      <x:c r="G14" s="79" t="n">
        <x:v>6600</x:v>
      </x:c>
      <x:c r="H14" s="87" t="n">
        <x:v>0</x:v>
      </x:c>
      <x:c r="I14" s="93" t="n">
        <x:v>0.06</x:v>
      </x:c>
      <x:c r="J14" s="58" t="str">
        <x:v>Commerciale</x:v>
      </x:c>
      <x:c r="K14" s="58" t="str">
        <x:v>P2</x:v>
      </x:c>
      <x:c r="L14" s="79" t="n">
        <x:v>25</x:v>
      </x:c>
      <x:c r="M14" s="58" t="str">
        <x:v>Collection cadeau enfant</x:v>
      </x:c>
      <x:c r="N14" s="58" t="str">
        <x:v>coloriage foot | Kits et carnets kawaii</x:v>
      </x:c>
      <x:c r="O14" s="58" t="str">
        <x:v>Découvrez notre collection coloriage foot : carnets, kits et accessoires créatifs pour une boutique coloriage kawaii.</x:v>
      </x:c>
      <x:c r="P14" s="58" t="str">
        <x:v>Depuis page pilier + recommandations produits</x:v>
      </x:c>
      <x:c r="Q14" s="59" t="str">
        <x:v>Coloriages football génériques, maillots non licenciés, trophées, ballons, activités anniversaire.</x:v>
      </x:c>
    </x:row>
    <x:row r="15">
      <x:c r="A15" s="57" t="n">
        <x:v>2</x:v>
      </x:c>
      <x:c r="B15" s="58" t="str">
        <x:v>Collection</x:v>
      </x:c>
      <x:c r="C15" s="58" t="str">
        <x:v>/univers/coloriages</x:v>
      </x:c>
      <x:c r="D15" s="58" t="str">
        <x:v>coloriage fille</x:v>
      </x:c>
      <x:c r="E15" s="58" t="str">
        <x:v>/collections/coloriage-fille</x:v>
      </x:c>
      <x:c r="F15" s="58" t="str">
        <x:v>Coloriage Fille</x:v>
      </x:c>
      <x:c r="G15" s="79" t="n">
        <x:v>6600</x:v>
      </x:c>
      <x:c r="H15" s="87" t="n">
        <x:v>0</x:v>
      </x:c>
      <x:c r="I15" s="93" t="str"/>
      <x:c r="J15" s="58" t="str">
        <x:v>Commerciale</x:v>
      </x:c>
      <x:c r="K15" s="58" t="str">
        <x:v>P2</x:v>
      </x:c>
      <x:c r="L15" s="79" t="n">
        <x:v>25</x:v>
      </x:c>
      <x:c r="M15" s="58" t="str">
        <x:v>Requête large enfant</x:v>
      </x:c>
      <x:c r="N15" s="58" t="str">
        <x:v>coloriage fille | Kits et carnets kawaii</x:v>
      </x:c>
      <x:c r="O15" s="58" t="str">
        <x:v>Découvrez notre collection coloriage fille : carnets, kits et accessoires créatifs pour une boutique coloriage kawaii.</x:v>
      </x:c>
      <x:c r="P15" s="58" t="str">
        <x:v>Depuis page pilier + recommandations produits</x:v>
      </x:c>
      <x:c r="Q15" s="59" t="str">
        <x:v>Licornes, animaux mignons, sirènes, mode, stickers. Attention à garder un wording inclusif en site.</x:v>
      </x:c>
    </x:row>
    <x:row r="16">
      <x:c r="A16" s="57" t="n">
        <x:v>2</x:v>
      </x:c>
      <x:c r="B16" s="58" t="str">
        <x:v>Collection</x:v>
      </x:c>
      <x:c r="C16" s="58" t="str">
        <x:v>/univers/coloriages</x:v>
      </x:c>
      <x:c r="D16" s="58" t="str">
        <x:v>coloriage kawaii fille</x:v>
      </x:c>
      <x:c r="E16" s="58" t="str">
        <x:v>/collections/coloriage-kawaii-fille</x:v>
      </x:c>
      <x:c r="F16" s="58" t="str">
        <x:v>Coloriage Kawaii Fille</x:v>
      </x:c>
      <x:c r="G16" s="79" t="n">
        <x:v>4800</x:v>
      </x:c>
      <x:c r="H16" s="87" t="n">
        <x:v>1</x:v>
      </x:c>
      <x:c r="I16" s="93" t="str"/>
      <x:c r="J16" s="58" t="str">
        <x:v>Transactionnelle</x:v>
      </x:c>
      <x:c r="K16" s="58" t="str">
        <x:v>P2</x:v>
      </x:c>
      <x:c r="L16" s="79" t="n">
        <x:v>25</x:v>
      </x:c>
      <x:c r="M16" s="58" t="str">
        <x:v>Longue traîne transactionnelle</x:v>
      </x:c>
      <x:c r="N16" s="58" t="str">
        <x:v>coloriage kawaii fille | Kits et carnets kawaii</x:v>
      </x:c>
      <x:c r="O16" s="58" t="str">
        <x:v>Découvrez notre collection coloriage kawaii fille : carnets, kits et accessoires créatifs pour une boutique coloriage kawaii.</x:v>
      </x:c>
      <x:c r="P16" s="58" t="str">
        <x:v>Depuis page pilier + recommandations produits</x:v>
      </x:c>
      <x:c r="Q16" s="59" t="str">
        <x:v>Déclinaison plus ciblée de la page pilier, à mailler depuis coloriage kawaii et coloriage fille.</x:v>
      </x:c>
    </x:row>
    <x:row r="17">
      <x:c r="A17" s="57" t="n">
        <x:v>2</x:v>
      </x:c>
      <x:c r="B17" s="58" t="str">
        <x:v>Collection</x:v>
      </x:c>
      <x:c r="C17" s="58" t="str">
        <x:v>/univers/themes-kawaii</x:v>
      </x:c>
      <x:c r="D17" s="58" t="str">
        <x:v>chat kawaii</x:v>
      </x:c>
      <x:c r="E17" s="58" t="str">
        <x:v>/collections/chat-kawaii</x:v>
      </x:c>
      <x:c r="F17" s="58" t="str">
        <x:v>Chat Kawaii</x:v>
      </x:c>
      <x:c r="G17" s="79" t="n">
        <x:v>4200</x:v>
      </x:c>
      <x:c r="H17" s="87" t="n">
        <x:v>0</x:v>
      </x:c>
      <x:c r="I17" s="93" t="n">
        <x:v>0.06</x:v>
      </x:c>
      <x:c r="J17" s="58" t="str">
        <x:v>Commerciale</x:v>
      </x:c>
      <x:c r="K17" s="58" t="str">
        <x:v>P2</x:v>
      </x:c>
      <x:c r="L17" s="79" t="n">
        <x:v>20</x:v>
      </x:c>
      <x:c r="M17" s="58" t="str">
        <x:v>Thème très brandable</x:v>
      </x:c>
      <x:c r="N17" s="58" t="str">
        <x:v>chat kawaii | Kits et carnets kawaii</x:v>
      </x:c>
      <x:c r="O17" s="58" t="str">
        <x:v>Découvrez notre collection chat kawaii : carnets, kits et accessoires créatifs pour une boutique coloriage kawaii.</x:v>
      </x:c>
      <x:c r="P17" s="58" t="str">
        <x:v>Depuis page pilier + recommandations produits</x:v>
      </x:c>
      <x:c r="Q17" s="59" t="str">
        <x:v>Collection de livres, stickers, marque-pages et mini kits autour du chat kawaii.</x:v>
      </x:c>
    </x:row>
    <x:row r="18">
      <x:c r="A18" s="57" t="n">
        <x:v>2</x:v>
      </x:c>
      <x:c r="B18" s="58" t="str">
        <x:v>Collection</x:v>
      </x:c>
      <x:c r="C18" s="58" t="str">
        <x:v>/univers/accessoires</x:v>
      </x:c>
      <x:c r="D18" s="58" t="str">
        <x:v>feutre acrylique</x:v>
      </x:c>
      <x:c r="E18" s="58" t="str">
        <x:v>/collections/feutre-acrylique</x:v>
      </x:c>
      <x:c r="F18" s="58" t="str">
        <x:v>Feutre Acrylique</x:v>
      </x:c>
      <x:c r="G18" s="79" t="n">
        <x:v>33000</x:v>
      </x:c>
      <x:c r="H18" s="87" t="n">
        <x:v>0</x:v>
      </x:c>
      <x:c r="I18" s="93" t="n">
        <x:v>0.16</x:v>
      </x:c>
      <x:c r="J18" s="58" t="str">
        <x:v>Transactionnelle</x:v>
      </x:c>
      <x:c r="K18" s="58" t="str">
        <x:v>P1</x:v>
      </x:c>
      <x:c r="L18" s="79" t="n">
        <x:v>40</x:v>
      </x:c>
      <x:c r="M18" s="58" t="str">
        <x:v>Monétisation accessoire forte</x:v>
      </x:c>
      <x:c r="N18" s="58" t="str">
        <x:v>feutre acrylique | Kits et carnets kawaii</x:v>
      </x:c>
      <x:c r="O18" s="58" t="str">
        <x:v>Découvrez notre collection feutre acrylique : carnets, kits et accessoires créatifs pour une boutique coloriage kawaii.</x:v>
      </x:c>
      <x:c r="P18" s="58" t="str">
        <x:v>Depuis accueil + menu + collections P2 liees</x:v>
      </x:c>
      <x:c r="Q18" s="59" t="str">
        <x:v>Sets de feutres, pointes fines, packs couleurs pastel, bundle avec cahiers papier épais.</x:v>
      </x:c>
    </x:row>
    <x:row r="19">
      <x:c r="A19" s="57" t="n">
        <x:v>2</x:v>
      </x:c>
      <x:c r="B19" s="58" t="str">
        <x:v>Collection</x:v>
      </x:c>
      <x:c r="C19" s="58" t="str">
        <x:v>/univers/accessoires</x:v>
      </x:c>
      <x:c r="D19" s="58" t="str">
        <x:v>feutre a alcool</x:v>
      </x:c>
      <x:c r="E19" s="58" t="str">
        <x:v>/collections/feutre-a-alcool</x:v>
      </x:c>
      <x:c r="F19" s="58" t="str">
        <x:v>Feutre A Alcool</x:v>
      </x:c>
      <x:c r="G19" s="79" t="n">
        <x:v>5400</x:v>
      </x:c>
      <x:c r="H19" s="87" t="n">
        <x:v>0</x:v>
      </x:c>
      <x:c r="I19" s="93" t="n">
        <x:v>0.21</x:v>
      </x:c>
      <x:c r="J19" s="58" t="str">
        <x:v>Transactionnelle</x:v>
      </x:c>
      <x:c r="K19" s="58" t="str">
        <x:v>P2</x:v>
      </x:c>
      <x:c r="L19" s="79" t="n">
        <x:v>30</x:v>
      </x:c>
      <x:c r="M19" s="58" t="str">
        <x:v>Panier moyen et upsell</x:v>
      </x:c>
      <x:c r="N19" s="58" t="str">
        <x:v>feutre a alcool | Kits et carnets kawaii</x:v>
      </x:c>
      <x:c r="O19" s="58" t="str">
        <x:v>Découvrez notre collection feutre a alcool : carnets, kits et accessoires créatifs pour une boutique coloriage kawaii.</x:v>
      </x:c>
      <x:c r="P19" s="58" t="str">
        <x:v>Depuis page pilier + recommandations produits</x:v>
      </x:c>
      <x:c r="Q19" s="59" t="str">
        <x:v>Sets alcohol markers, nuanciers, pochettes rangement, packs débutant et premium.</x:v>
      </x:c>
    </x:row>
    <x:row r="20">
      <x:c r="A20" s="57" t="n">
        <x:v>2</x:v>
      </x:c>
      <x:c r="B20" s="58" t="str">
        <x:v>Collection</x:v>
      </x:c>
      <x:c r="C20" s="58" t="str">
        <x:v>/univers/accessoires</x:v>
      </x:c>
      <x:c r="D20" s="58" t="str">
        <x:v>trousse kawaii</x:v>
      </x:c>
      <x:c r="E20" s="58" t="str">
        <x:v>/collections/trousse-kawaii</x:v>
      </x:c>
      <x:c r="F20" s="58" t="str">
        <x:v>Trousse Kawaii</x:v>
      </x:c>
      <x:c r="G20" s="79" t="n">
        <x:v>3800</x:v>
      </x:c>
      <x:c r="H20" s="87" t="n">
        <x:v>0</x:v>
      </x:c>
      <x:c r="I20" s="93" t="n">
        <x:v>0.14</x:v>
      </x:c>
      <x:c r="J20" s="58" t="str">
        <x:v>Transactionnelle</x:v>
      </x:c>
      <x:c r="K20" s="58" t="str">
        <x:v>P2</x:v>
      </x:c>
      <x:c r="L20" s="79" t="n">
        <x:v>20</x:v>
      </x:c>
      <x:c r="M20" s="58" t="str">
        <x:v>Produit léger et cadeau</x:v>
      </x:c>
      <x:c r="N20" s="58" t="str">
        <x:v>trousse kawaii | Kits et carnets kawaii</x:v>
      </x:c>
      <x:c r="O20" s="58" t="str">
        <x:v>Découvrez notre collection trousse kawaii : carnets, kits et accessoires créatifs pour une boutique coloriage kawaii.</x:v>
      </x:c>
      <x:c r="P20" s="58" t="str">
        <x:v>Depuis page pilier + recommandations produits</x:v>
      </x:c>
      <x:c r="Q20" s="59" t="str">
        <x:v>Trousses mignonnes, pochettes feutres, rangement coloriage, lots rentrée.</x:v>
      </x:c>
    </x:row>
    <x:row r="21">
      <x:c r="A21" s="57" t="n">
        <x:v>2</x:v>
      </x:c>
      <x:c r="B21" s="58" t="str">
        <x:v>Collection</x:v>
      </x:c>
      <x:c r="C21" s="58" t="str">
        <x:v>/univers/cadeaux-creatifs</x:v>
      </x:c>
      <x:c r="D21" s="58" t="str">
        <x:v>marque page personnalisé</x:v>
      </x:c>
      <x:c r="E21" s="58" t="str">
        <x:v>/collections/marque-page-personnalise</x:v>
      </x:c>
      <x:c r="F21" s="58" t="str">
        <x:v>Marque Page Personnalisé</x:v>
      </x:c>
      <x:c r="G21" s="79" t="n">
        <x:v>3700</x:v>
      </x:c>
      <x:c r="H21" s="87" t="n">
        <x:v>1</x:v>
      </x:c>
      <x:c r="I21" s="93" t="n">
        <x:v>0.42</x:v>
      </x:c>
      <x:c r="J21" s="58" t="str">
        <x:v>Transactionnelle</x:v>
      </x:c>
      <x:c r="K21" s="58" t="str">
        <x:v>P2</x:v>
      </x:c>
      <x:c r="L21" s="79" t="n">
        <x:v>20</x:v>
      </x:c>
      <x:c r="M21" s="58" t="str">
        <x:v>AOV par personnalisation</x:v>
      </x:c>
      <x:c r="N21" s="58" t="str">
        <x:v>marque page personnalisé | Kits et carnets kawaii</x:v>
      </x:c>
      <x:c r="O21" s="58" t="str">
        <x:v>Découvrez notre collection marque page personnalisé : carnets, kits et accessoires créatifs pour une boutique coloriage kawaii.</x:v>
      </x:c>
      <x:c r="P21" s="58" t="str">
        <x:v>Depuis page pilier + recommandations produits</x:v>
      </x:c>
      <x:c r="Q21" s="59" t="str">
        <x:v>Marque-pages prénom, chats, fleurs, citations, lots de 3 et bundle cahier.</x:v>
      </x:c>
    </x:row>
    <x:row r="22">
      <x:c r="A22" s="57" t="n">
        <x:v>2</x:v>
      </x:c>
      <x:c r="B22" s="58" t="str">
        <x:v>Collection</x:v>
      </x:c>
      <x:c r="C22" s="58" t="str">
        <x:v>/univers/cadeaux-creatifs</x:v>
      </x:c>
      <x:c r="D22" s="58" t="str">
        <x:v>diamond painting personnalisé</x:v>
      </x:c>
      <x:c r="E22" s="58" t="str">
        <x:v>/collections/diamond-painting-personnalise</x:v>
      </x:c>
      <x:c r="F22" s="58" t="str">
        <x:v>Diamond Painting Personnalisé</x:v>
      </x:c>
      <x:c r="G22" s="79" t="n">
        <x:v>6000</x:v>
      </x:c>
      <x:c r="H22" s="87" t="n">
        <x:v>2</x:v>
      </x:c>
      <x:c r="I22" s="93" t="n">
        <x:v>0.71</x:v>
      </x:c>
      <x:c r="J22" s="58" t="str">
        <x:v>Transactionnelle</x:v>
      </x:c>
      <x:c r="K22" s="58" t="str">
        <x:v>P2</x:v>
      </x:c>
      <x:c r="L22" s="79" t="n">
        <x:v>30</x:v>
      </x:c>
      <x:c r="M22" s="58" t="str">
        <x:v>Produit cadeau à marge</x:v>
      </x:c>
      <x:c r="N22" s="58" t="str">
        <x:v>diamond painting personnalisé | Kits et carnets kawaii</x:v>
      </x:c>
      <x:c r="O22" s="58" t="str">
        <x:v>Découvrez notre collection diamond painting personnalisé : carnets, kits et accessoires créatifs pour une boutique coloriage kawaii.</x:v>
      </x:c>
      <x:c r="P22" s="58" t="str">
        <x:v>Depuis page pilier + recommandations produits</x:v>
      </x:c>
      <x:c r="Q22" s="59" t="str">
        <x:v>Kits personnalisés, formats petits faciles à expédier, modèles animaux kawaii.</x:v>
      </x:c>
    </x:row>
    <x:row r="23">
      <x:c r="A23" s="57" t="n">
        <x:v>1</x:v>
      </x:c>
      <x:c r="B23" s="58" t="str">
        <x:v>Blog SEO</x:v>
      </x:c>
      <x:c r="C23" s="58" t="str">
        <x:v>/</x:v>
      </x:c>
      <x:c r="D23" s="58" t="str"/>
      <x:c r="E23" s="58" t="str">
        <x:v>/blogs/guides</x:v>
      </x:c>
      <x:c r="F23" s="58" t="str">
        <x:v>Guides coloriage kawaii</x:v>
      </x:c>
      <x:c r="G23" s="79" t="str"/>
      <x:c r="H23" s="87" t="str"/>
      <x:c r="I23" s="93" t="str"/>
      <x:c r="J23" s="58" t="str">
        <x:v>Informationnelle</x:v>
      </x:c>
      <x:c r="K23" s="58" t="str">
        <x:v>P3</x:v>
      </x:c>
      <x:c r="L23" s="79" t="str"/>
      <x:c r="M23" s="58" t="str">
        <x:v>Alimenter les collections, pas remplacer les pages transactionnelles.</x:v>
      </x:c>
      <x:c r="N23" s="58" t="str">
        <x:v>Guides coloriage kawaii</x:v>
      </x:c>
      <x:c r="O23" s="58" t="str">
        <x:v>Idees, conseils feutres et inspirations pour mieux colorier.</x:v>
      </x:c>
      <x:c r="P23" s="58" t="str">
        <x:v>Chaque article doit pointer vers une collection.</x:v>
      </x:c>
      <x:c r="Q23" s="59" t="str">
        <x:v>Exemples : comment choisir ses feutres, coloriage kawaii adulte, idees cadeaux.</x:v>
      </x:c>
    </x:row>
    <x:row r="24">
      <x:c r="A24" s="60" t="n">
        <x:v>1</x:v>
      </x:c>
      <x:c r="B24" s="61" t="str">
        <x:v>Pages confiance</x:v>
      </x:c>
      <x:c r="C24" s="61" t="str">
        <x:v>/</x:v>
      </x:c>
      <x:c r="D24" s="61" t="str"/>
      <x:c r="E24" s="61" t="str">
        <x:v>/pages/livraison-retours</x:v>
      </x:c>
      <x:c r="F24" s="61" t="str">
        <x:v>Livraison et retours</x:v>
      </x:c>
      <x:c r="G24" s="80" t="str"/>
      <x:c r="H24" s="88" t="str"/>
      <x:c r="I24" s="94" t="str"/>
      <x:c r="J24" s="61" t="str">
        <x:v>Rassurance</x:v>
      </x:c>
      <x:c r="K24" s="61" t="str">
        <x:v>P2</x:v>
      </x:c>
      <x:c r="L24" s="80" t="str"/>
      <x:c r="M24" s="61" t="str">
        <x:v>Limiter la friction avant achat.</x:v>
      </x:c>
      <x:c r="N24" s="61" t="str">
        <x:v>Livraison et retours</x:v>
      </x:c>
      <x:c r="O24" s="61" t="str">
        <x:v>Delais, suivi et retours pour les kits coloriage kawaii.</x:v>
      </x:c>
      <x:c r="P24" s="61" t="str">
        <x:v>Footer + checkout.</x:v>
      </x:c>
      <x:c r="Q24" s="62" t="str">
        <x:v>Essentiel pour dropshipping : clarifier delais et suivi.</x:v>
      </x:c>
    </x:row>
  </x:sheetData>
  <x:mergeCells>
    <x:mergeCell ref="A1:Q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8" hidden="0" customWidth="1"/>
    <x:col min="4" max="4" width="10" hidden="0" customWidth="1"/>
    <x:col min="5" max="5" width="3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8" hidden="0" customWidth="1"/>
    <x:col min="15" max="15" width="56" hidden="0" customWidth="1"/>
    <x:col min="16" max="16" width="26" hidden="0" customWidth="1"/>
  </x:cols>
  <x:sheetData>
    <x:row r="1" ht="34" customHeight="1">
      <x:c r="A1" s="133" t="str">
        <x:v>Collections SEO - 1 collection = 1 mot-cle</x:v>
      </x:c>
      <x:c r="B1" s="133" t="str">
        <x:v>Collections SEO - 1 collection = 1 mot-cle</x:v>
      </x:c>
      <x:c r="C1" s="133" t="str">
        <x:v>Collections SEO - 1 collection = 1 mot-cle</x:v>
      </x:c>
      <x:c r="D1" s="133" t="str">
        <x:v>Collections SEO - 1 collection = 1 mot-cle</x:v>
      </x:c>
      <x:c r="E1" s="133" t="str">
        <x:v>Collections SEO - 1 collection = 1 mot-cle</x:v>
      </x:c>
      <x:c r="F1" s="133" t="str">
        <x:v>Collections SEO - 1 collection = 1 mot-cle</x:v>
      </x:c>
      <x:c r="G1" s="133" t="str">
        <x:v>Collections SEO - 1 collection = 1 mot-cle</x:v>
      </x:c>
      <x:c r="H1" s="133" t="str">
        <x:v>Collections SEO - 1 collection = 1 mot-cle</x:v>
      </x:c>
      <x:c r="I1" s="133" t="str">
        <x:v>Collections SEO - 1 collection = 1 mot-cle</x:v>
      </x:c>
      <x:c r="J1" s="133" t="str">
        <x:v>Collections SEO - 1 collection = 1 mot-cle</x:v>
      </x:c>
      <x:c r="K1" s="133" t="str">
        <x:v>Collections SEO - 1 collection = 1 mot-cle</x:v>
      </x:c>
      <x:c r="L1" s="133" t="str">
        <x:v>Collections SEO - 1 collection = 1 mot-cle</x:v>
      </x:c>
      <x:c r="M1" s="133" t="str">
        <x:v>Collections SEO - 1 collection = 1 mot-cle</x:v>
      </x:c>
      <x:c r="N1" s="133" t="str">
        <x:v>Collections SEO - 1 collection = 1 mot-cle</x:v>
      </x:c>
      <x:c r="O1" s="133" t="str">
        <x:v>Collections SEO - 1 collection = 1 mot-cle</x:v>
      </x:c>
      <x:c r="P1" s="133" t="str">
        <x:v>Collections SEO - 1 collection = 1 mot-cle</x:v>
      </x:c>
    </x:row>
    <x:row r="2">
      <x:c r="A2" s="58"/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</x:row>
    <x:row r="3">
      <x:c r="A3" s="135" t="str">
        <x:v>Ordre</x:v>
      </x:c>
      <x:c r="B3" s="136" t="str">
        <x:v>Pilier</x:v>
      </x:c>
      <x:c r="C3" s="136" t="str">
        <x:v>Collection = mot-cle</x:v>
      </x:c>
      <x:c r="D3" s="136" t="str">
        <x:v>Active</x:v>
      </x:c>
      <x:c r="E3" s="136" t="str">
        <x:v>URL</x:v>
      </x:c>
      <x:c r="F3" s="136" t="str">
        <x:v>Volume FR</x:v>
      </x:c>
      <x:c r="G3" s="136" t="str">
        <x:v>KD</x:v>
      </x:c>
      <x:c r="H3" s="136" t="str">
        <x:v>CPC</x:v>
      </x:c>
      <x:c r="I3" s="136" t="str">
        <x:v>Intention</x:v>
      </x:c>
      <x:c r="J3" s="136" t="str">
        <x:v>Priorite</x:v>
      </x:c>
      <x:c r="K3" s="136" t="str">
        <x:v>SKU cible</x:v>
      </x:c>
      <x:c r="L3" s="136" t="str">
        <x:v>Prix moyen cible</x:v>
      </x:c>
      <x:c r="M3" s="136" t="str">
        <x:v>Score SEO</x:v>
      </x:c>
      <x:c r="N3" s="136" t="str">
        <x:v>Role commercial</x:v>
      </x:c>
      <x:c r="O3" s="136" t="str">
        <x:v>Brief collection</x:v>
      </x:c>
      <x:c r="P3" s="137" t="str">
        <x:v>Source CSV keyword</x:v>
      </x:c>
    </x:row>
    <x:row r="4">
      <x:c r="A4" s="54" t="n">
        <x:v>1</x:v>
      </x:c>
      <x:c r="B4" s="55" t="str">
        <x:v>Coloriages</x:v>
      </x:c>
      <x:c r="C4" s="55" t="str">
        <x:v>coloriage kawaii</x:v>
      </x:c>
      <x:c r="D4" s="55" t="str">
        <x:v>Oui</x:v>
      </x:c>
      <x:c r="E4" s="55" t="str">
        <x:v>/collections/coloriage-kawaii</x:v>
      </x:c>
      <x:c r="F4" s="78" t="n">
        <x:v>38000</x:v>
      </x:c>
      <x:c r="G4" s="86" t="n">
        <x:v>1</x:v>
      </x:c>
      <x:c r="H4" s="92" t="n">
        <x:v>0.06</x:v>
      </x:c>
      <x:c r="I4" s="55" t="str">
        <x:v>Transactionnelle</x:v>
      </x:c>
      <x:c r="J4" s="55" t="str">
        <x:v>P1</x:v>
      </x:c>
      <x:c r="K4" s="78" t="n">
        <x:v>45</x:v>
      </x:c>
      <x:c r="L4" s="92" t="n">
        <x:v>24.9</x:v>
      </x:c>
      <x:c r="M4" s="78" t="n">
        <x:f>ROUND((F4/(G4+1))*IF(J4="P1",1.2,IF(J4="P2",1,0.8)),0)</x:f>
        <x:v>22800</x:v>
      </x:c>
      <x:c r="N4" s="55" t="str">
        <x:v>Collection pilier SEO et commerciale</x:v>
      </x:c>
      <x:c r="O4" s="55" t="str">
        <x:v>Livres, carnets, packs imprimés, bundles découverte. Page mère à mailler vers tous les thèmes kawaii.</x:v>
      </x:c>
      <x:c r="P4" s="56" t="str">
        <x:v>coloriage kawaii</x:v>
      </x:c>
    </x:row>
    <x:row r="5">
      <x:c r="A5" s="57" t="n">
        <x:v>2</x:v>
      </x:c>
      <x:c r="B5" s="58" t="str">
        <x:v>Coloriages</x:v>
      </x:c>
      <x:c r="C5" s="58" t="str">
        <x:v>coloriage adulte</x:v>
      </x:c>
      <x:c r="D5" s="58" t="str">
        <x:v>Oui</x:v>
      </x:c>
      <x:c r="E5" s="58" t="str">
        <x:v>/collections/coloriage-adulte</x:v>
      </x:c>
      <x:c r="F5" s="79" t="n">
        <x:v>15000</x:v>
      </x:c>
      <x:c r="G5" s="87" t="n">
        <x:v>0</x:v>
      </x:c>
      <x:c r="H5" s="93" t="n">
        <x:v>0.1</x:v>
      </x:c>
      <x:c r="I5" s="58" t="str">
        <x:v>Commerciale</x:v>
      </x:c>
      <x:c r="J5" s="58" t="str">
        <x:v>P1</x:v>
      </x:c>
      <x:c r="K5" s="79" t="n">
        <x:v>35</x:v>
      </x:c>
      <x:c r="L5" s="93" t="n">
        <x:v>29.9</x:v>
      </x:c>
      <x:c r="M5" s="79" t="n">
        <x:f>ROUND((F5/(G5+1))*IF(J5="P1",1.2,IF(J5="P2",1,0.8)),0)</x:f>
        <x:v>18000</x:v>
      </x:c>
      <x:c r="N5" s="58" t="str">
        <x:v>Segment panier plus élevé</x:v>
      </x:c>
      <x:c r="O5" s="58" t="str">
        <x:v>Cahiers anti-stress, mandalas kawaii, carnets premium papier épais, packs feutres + livre.</x:v>
      </x:c>
      <x:c r="P5" s="59" t="str">
        <x:v>coloriage adulte</x:v>
      </x:c>
    </x:row>
    <x:row r="6">
      <x:c r="A6" s="57" t="n">
        <x:v>3</x:v>
      </x:c>
      <x:c r="B6" s="58" t="str">
        <x:v>Coloriages</x:v>
      </x:c>
      <x:c r="C6" s="58" t="str">
        <x:v>coloriage magique</x:v>
      </x:c>
      <x:c r="D6" s="58" t="str">
        <x:v>Oui</x:v>
      </x:c>
      <x:c r="E6" s="58" t="str">
        <x:v>/collections/coloriage-magique</x:v>
      </x:c>
      <x:c r="F6" s="79" t="n">
        <x:v>13000</x:v>
      </x:c>
      <x:c r="G6" s="87" t="n">
        <x:v>3</x:v>
      </x:c>
      <x:c r="H6" s="93" t="n">
        <x:v>0.08</x:v>
      </x:c>
      <x:c r="I6" s="58" t="str">
        <x:v>Commerciale</x:v>
      </x:c>
      <x:c r="J6" s="58" t="str">
        <x:v>P1</x:v>
      </x:c>
      <x:c r="K6" s="79" t="n">
        <x:v>30</x:v>
      </x:c>
      <x:c r="L6" s="93" t="n">
        <x:v>22.9</x:v>
      </x:c>
      <x:c r="M6" s="79" t="n">
        <x:f>ROUND((F6/(G6+1))*IF(J6="P1",1.2,IF(J6="P2",1,0.8)),0)</x:f>
        <x:v>3900</x:v>
      </x:c>
      <x:c r="N6" s="58" t="str">
        <x:v>Collection enfant/giftable</x:v>
      </x:c>
      <x:c r="O6" s="58" t="str">
        <x:v>Livres à révélation, feutres magiques, cahiers effaçables, packs cadeaux anniversaire.</x:v>
      </x:c>
      <x:c r="P6" s="59" t="str">
        <x:v>coloriage magique</x:v>
      </x:c>
    </x:row>
    <x:row r="7">
      <x:c r="A7" s="57" t="n">
        <x:v>4</x:v>
      </x:c>
      <x:c r="B7" s="58" t="str">
        <x:v>Coloriages</x:v>
      </x:c>
      <x:c r="C7" s="58" t="str">
        <x:v>coloriage mystere</x:v>
      </x:c>
      <x:c r="D7" s="58" t="str">
        <x:v>Oui</x:v>
      </x:c>
      <x:c r="E7" s="58" t="str">
        <x:v>/collections/coloriage-mystere</x:v>
      </x:c>
      <x:c r="F7" s="79" t="n">
        <x:v>12000</x:v>
      </x:c>
      <x:c r="G7" s="87" t="n">
        <x:v>0</x:v>
      </x:c>
      <x:c r="H7" s="93" t="n">
        <x:v>0.09</x:v>
      </x:c>
      <x:c r="I7" s="58" t="str">
        <x:v>Transactionnelle</x:v>
      </x:c>
      <x:c r="J7" s="58" t="str">
        <x:v>P1</x:v>
      </x:c>
      <x:c r="K7" s="79" t="n">
        <x:v>30</x:v>
      </x:c>
      <x:c r="L7" s="93" t="n">
        <x:v>24.9</x:v>
      </x:c>
      <x:c r="M7" s="79" t="n">
        <x:f>ROUND((F7/(G7+1))*IF(J7="P1",1.2,IF(J7="P2",1,0.8)),0)</x:f>
        <x:v>14400</x:v>
      </x:c>
      <x:c r="N7" s="58" t="str">
        <x:v>Angle découverte et retention</x:v>
      </x:c>
      <x:c r="O7" s="58" t="str">
        <x:v>Coloriages mystères par numéros, pixels kawaii, animaux cachés, cartes surprises.</x:v>
      </x:c>
      <x:c r="P7" s="59" t="str">
        <x:v>coloriage mystere</x:v>
      </x:c>
    </x:row>
    <x:row r="8">
      <x:c r="A8" s="57" t="n">
        <x:v>5</x:v>
      </x:c>
      <x:c r="B8" s="58" t="str">
        <x:v>Coloriages</x:v>
      </x:c>
      <x:c r="C8" s="58" t="str">
        <x:v>coloriage cosy</x:v>
      </x:c>
      <x:c r="D8" s="58" t="str">
        <x:v>Oui</x:v>
      </x:c>
      <x:c r="E8" s="58" t="str">
        <x:v>/collections/coloriage-cosy</x:v>
      </x:c>
      <x:c r="F8" s="79" t="n">
        <x:v>9200</x:v>
      </x:c>
      <x:c r="G8" s="87" t="n">
        <x:v>0</x:v>
      </x:c>
      <x:c r="H8" s="93" t="n">
        <x:v>0.11</x:v>
      </x:c>
      <x:c r="I8" s="58" t="str">
        <x:v>Commerciale</x:v>
      </x:c>
      <x:c r="J8" s="58" t="str">
        <x:v>P1</x:v>
      </x:c>
      <x:c r="K8" s="79" t="n">
        <x:v>30</x:v>
      </x:c>
      <x:c r="L8" s="93" t="n">
        <x:v>27.9</x:v>
      </x:c>
      <x:c r="M8" s="79" t="n">
        <x:f>ROUND((F8/(G8+1))*IF(J8="P1",1.2,IF(J8="P2",1,0.8)),0)</x:f>
        <x:v>11040</x:v>
      </x:c>
      <x:c r="N8" s="58" t="str">
        <x:v>Positionnement marque cosy</x:v>
      </x:c>
      <x:c r="O8" s="58" t="str">
        <x:v>Univers cocooning : chats, thé, maison, automne, journaling, packs relaxation.</x:v>
      </x:c>
      <x:c r="P8" s="59" t="str">
        <x:v>coloriage cosy</x:v>
      </x:c>
    </x:row>
    <x:row r="9">
      <x:c r="A9" s="57" t="n">
        <x:v>6</x:v>
      </x:c>
      <x:c r="B9" s="58" t="str">
        <x:v>Coloriages</x:v>
      </x:c>
      <x:c r="C9" s="58" t="str">
        <x:v>coloriage manga</x:v>
      </x:c>
      <x:c r="D9" s="58" t="str">
        <x:v>Oui</x:v>
      </x:c>
      <x:c r="E9" s="58" t="str">
        <x:v>/collections/coloriage-manga</x:v>
      </x:c>
      <x:c r="F9" s="79" t="n">
        <x:v>7000</x:v>
      </x:c>
      <x:c r="G9" s="87" t="n">
        <x:v>0</x:v>
      </x:c>
      <x:c r="H9" s="93" t="n">
        <x:v>0.07</x:v>
      </x:c>
      <x:c r="I9" s="58" t="str">
        <x:v>Commerciale</x:v>
      </x:c>
      <x:c r="J9" s="58" t="str">
        <x:v>P2</x:v>
      </x:c>
      <x:c r="K9" s="79" t="n">
        <x:v>25</x:v>
      </x:c>
      <x:c r="L9" s="93" t="n">
        <x:v>24.9</x:v>
      </x:c>
      <x:c r="M9" s="79" t="n">
        <x:f>ROUND((F9/(G9+1))*IF(J9="P1",1.2,IF(J9="P2",1,0.8)),0)</x:f>
        <x:v>7000</x:v>
      </x:c>
      <x:c r="N9" s="58" t="str">
        <x:v>Trafic passion mais IP-safe</x:v>
      </x:c>
      <x:c r="O9" s="58" t="str">
        <x:v>Personnages originaux manga/chibi, expressions, tenues, cahiers apprentissage dessin.</x:v>
      </x:c>
      <x:c r="P9" s="59" t="str">
        <x:v>coloriage manga</x:v>
      </x:c>
    </x:row>
    <x:row r="10">
      <x:c r="A10" s="57" t="n">
        <x:v>7</x:v>
      </x:c>
      <x:c r="B10" s="58" t="str">
        <x:v>Coloriages</x:v>
      </x:c>
      <x:c r="C10" s="58" t="str">
        <x:v>coloriage foot</x:v>
      </x:c>
      <x:c r="D10" s="58" t="str">
        <x:v>Oui</x:v>
      </x:c>
      <x:c r="E10" s="58" t="str">
        <x:v>/collections/coloriage-foot</x:v>
      </x:c>
      <x:c r="F10" s="79" t="n">
        <x:v>6600</x:v>
      </x:c>
      <x:c r="G10" s="87" t="n">
        <x:v>0</x:v>
      </x:c>
      <x:c r="H10" s="93" t="n">
        <x:v>0.06</x:v>
      </x:c>
      <x:c r="I10" s="58" t="str">
        <x:v>Commerciale</x:v>
      </x:c>
      <x:c r="J10" s="58" t="str">
        <x:v>P2</x:v>
      </x:c>
      <x:c r="K10" s="79" t="n">
        <x:v>25</x:v>
      </x:c>
      <x:c r="L10" s="93" t="n">
        <x:v>19.9</x:v>
      </x:c>
      <x:c r="M10" s="79" t="n">
        <x:f>ROUND((F10/(G10+1))*IF(J10="P1",1.2,IF(J10="P2",1,0.8)),0)</x:f>
        <x:v>6600</x:v>
      </x:c>
      <x:c r="N10" s="58" t="str">
        <x:v>Collection cadeau enfant</x:v>
      </x:c>
      <x:c r="O10" s="58" t="str">
        <x:v>Coloriages football génériques, maillots non licenciés, trophées, ballons, activités anniversaire.</x:v>
      </x:c>
      <x:c r="P10" s="59" t="str">
        <x:v>coloriage foot</x:v>
      </x:c>
    </x:row>
    <x:row r="11">
      <x:c r="A11" s="57" t="n">
        <x:v>8</x:v>
      </x:c>
      <x:c r="B11" s="58" t="str">
        <x:v>Coloriages</x:v>
      </x:c>
      <x:c r="C11" s="58" t="str">
        <x:v>coloriage fille</x:v>
      </x:c>
      <x:c r="D11" s="58" t="str">
        <x:v>Oui</x:v>
      </x:c>
      <x:c r="E11" s="58" t="str">
        <x:v>/collections/coloriage-fille</x:v>
      </x:c>
      <x:c r="F11" s="79" t="n">
        <x:v>6600</x:v>
      </x:c>
      <x:c r="G11" s="87" t="n">
        <x:v>0</x:v>
      </x:c>
      <x:c r="H11" s="93" t="str"/>
      <x:c r="I11" s="58" t="str">
        <x:v>Commerciale</x:v>
      </x:c>
      <x:c r="J11" s="58" t="str">
        <x:v>P2</x:v>
      </x:c>
      <x:c r="K11" s="79" t="n">
        <x:v>25</x:v>
      </x:c>
      <x:c r="L11" s="93" t="n">
        <x:v>19.9</x:v>
      </x:c>
      <x:c r="M11" s="79" t="n">
        <x:f>ROUND((F11/(G11+1))*IF(J11="P1",1.2,IF(J11="P2",1,0.8)),0)</x:f>
        <x:v>6600</x:v>
      </x:c>
      <x:c r="N11" s="58" t="str">
        <x:v>Requête large enfant</x:v>
      </x:c>
      <x:c r="O11" s="58" t="str">
        <x:v>Licornes, animaux mignons, sirènes, mode, stickers. Attention à garder un wording inclusif en site.</x:v>
      </x:c>
      <x:c r="P11" s="59" t="str">
        <x:v>coloriage fille</x:v>
      </x:c>
    </x:row>
    <x:row r="12">
      <x:c r="A12" s="57" t="n">
        <x:v>9</x:v>
      </x:c>
      <x:c r="B12" s="58" t="str">
        <x:v>Coloriages</x:v>
      </x:c>
      <x:c r="C12" s="58" t="str">
        <x:v>coloriage kawaii fille</x:v>
      </x:c>
      <x:c r="D12" s="58" t="str">
        <x:v>Oui</x:v>
      </x:c>
      <x:c r="E12" s="58" t="str">
        <x:v>/collections/coloriage-kawaii-fille</x:v>
      </x:c>
      <x:c r="F12" s="79" t="n">
        <x:v>4800</x:v>
      </x:c>
      <x:c r="G12" s="87" t="n">
        <x:v>1</x:v>
      </x:c>
      <x:c r="H12" s="93" t="str"/>
      <x:c r="I12" s="58" t="str">
        <x:v>Transactionnelle</x:v>
      </x:c>
      <x:c r="J12" s="58" t="str">
        <x:v>P2</x:v>
      </x:c>
      <x:c r="K12" s="79" t="n">
        <x:v>25</x:v>
      </x:c>
      <x:c r="L12" s="93" t="n">
        <x:v>19.9</x:v>
      </x:c>
      <x:c r="M12" s="79" t="n">
        <x:f>ROUND((F12/(G12+1))*IF(J12="P1",1.2,IF(J12="P2",1,0.8)),0)</x:f>
        <x:v>2400</x:v>
      </x:c>
      <x:c r="N12" s="58" t="str">
        <x:v>Longue traîne transactionnelle</x:v>
      </x:c>
      <x:c r="O12" s="58" t="str">
        <x:v>Déclinaison plus ciblée de la page pilier, à mailler depuis coloriage kawaii et coloriage fille.</x:v>
      </x:c>
      <x:c r="P12" s="59" t="str">
        <x:v>coloriage kawaii fille</x:v>
      </x:c>
    </x:row>
    <x:row r="13">
      <x:c r="A13" s="57" t="n">
        <x:v>10</x:v>
      </x:c>
      <x:c r="B13" s="58" t="str">
        <x:v>Thèmes kawaii</x:v>
      </x:c>
      <x:c r="C13" s="58" t="str">
        <x:v>chat kawaii</x:v>
      </x:c>
      <x:c r="D13" s="58" t="str">
        <x:v>Oui</x:v>
      </x:c>
      <x:c r="E13" s="58" t="str">
        <x:v>/collections/chat-kawaii</x:v>
      </x:c>
      <x:c r="F13" s="79" t="n">
        <x:v>4200</x:v>
      </x:c>
      <x:c r="G13" s="87" t="n">
        <x:v>0</x:v>
      </x:c>
      <x:c r="H13" s="93" t="n">
        <x:v>0.06</x:v>
      </x:c>
      <x:c r="I13" s="58" t="str">
        <x:v>Commerciale</x:v>
      </x:c>
      <x:c r="J13" s="58" t="str">
        <x:v>P2</x:v>
      </x:c>
      <x:c r="K13" s="79" t="n">
        <x:v>20</x:v>
      </x:c>
      <x:c r="L13" s="93" t="n">
        <x:v>22.9</x:v>
      </x:c>
      <x:c r="M13" s="79" t="n">
        <x:f>ROUND((F13/(G13+1))*IF(J13="P1",1.2,IF(J13="P2",1,0.8)),0)</x:f>
        <x:v>4200</x:v>
      </x:c>
      <x:c r="N13" s="58" t="str">
        <x:v>Thème très brandable</x:v>
      </x:c>
      <x:c r="O13" s="58" t="str">
        <x:v>Collection de livres, stickers, marque-pages et mini kits autour du chat kawaii.</x:v>
      </x:c>
      <x:c r="P13" s="59" t="str">
        <x:v>chat kawaii</x:v>
      </x:c>
    </x:row>
    <x:row r="14">
      <x:c r="A14" s="57" t="n">
        <x:v>11</x:v>
      </x:c>
      <x:c r="B14" s="58" t="str">
        <x:v>Accessoires</x:v>
      </x:c>
      <x:c r="C14" s="58" t="str">
        <x:v>feutre acrylique</x:v>
      </x:c>
      <x:c r="D14" s="58" t="str">
        <x:v>Oui</x:v>
      </x:c>
      <x:c r="E14" s="58" t="str">
        <x:v>/collections/feutre-acrylique</x:v>
      </x:c>
      <x:c r="F14" s="79" t="n">
        <x:v>33000</x:v>
      </x:c>
      <x:c r="G14" s="87" t="n">
        <x:v>0</x:v>
      </x:c>
      <x:c r="H14" s="93" t="n">
        <x:v>0.16</x:v>
      </x:c>
      <x:c r="I14" s="58" t="str">
        <x:v>Transactionnelle</x:v>
      </x:c>
      <x:c r="J14" s="58" t="str">
        <x:v>P1</x:v>
      </x:c>
      <x:c r="K14" s="79" t="n">
        <x:v>40</x:v>
      </x:c>
      <x:c r="L14" s="93" t="n">
        <x:v>29.9</x:v>
      </x:c>
      <x:c r="M14" s="79" t="n">
        <x:f>ROUND((F14/(G14+1))*IF(J14="P1",1.2,IF(J14="P2",1,0.8)),0)</x:f>
        <x:v>39600</x:v>
      </x:c>
      <x:c r="N14" s="58" t="str">
        <x:v>Monétisation accessoire forte</x:v>
      </x:c>
      <x:c r="O14" s="58" t="str">
        <x:v>Sets de feutres, pointes fines, packs couleurs pastel, bundle avec cahiers papier épais.</x:v>
      </x:c>
      <x:c r="P14" s="59" t="str">
        <x:v>feutre acrylique</x:v>
      </x:c>
    </x:row>
    <x:row r="15">
      <x:c r="A15" s="57" t="n">
        <x:v>12</x:v>
      </x:c>
      <x:c r="B15" s="58" t="str">
        <x:v>Accessoires</x:v>
      </x:c>
      <x:c r="C15" s="58" t="str">
        <x:v>feutre a alcool</x:v>
      </x:c>
      <x:c r="D15" s="58" t="str">
        <x:v>Oui</x:v>
      </x:c>
      <x:c r="E15" s="58" t="str">
        <x:v>/collections/feutre-a-alcool</x:v>
      </x:c>
      <x:c r="F15" s="79" t="n">
        <x:v>5400</x:v>
      </x:c>
      <x:c r="G15" s="87" t="n">
        <x:v>0</x:v>
      </x:c>
      <x:c r="H15" s="93" t="n">
        <x:v>0.21</x:v>
      </x:c>
      <x:c r="I15" s="58" t="str">
        <x:v>Transactionnelle</x:v>
      </x:c>
      <x:c r="J15" s="58" t="str">
        <x:v>P2</x:v>
      </x:c>
      <x:c r="K15" s="79" t="n">
        <x:v>30</x:v>
      </x:c>
      <x:c r="L15" s="93" t="n">
        <x:v>34.9</x:v>
      </x:c>
      <x:c r="M15" s="79" t="n">
        <x:f>ROUND((F15/(G15+1))*IF(J15="P1",1.2,IF(J15="P2",1,0.8)),0)</x:f>
        <x:v>5400</x:v>
      </x:c>
      <x:c r="N15" s="58" t="str">
        <x:v>Panier moyen et upsell</x:v>
      </x:c>
      <x:c r="O15" s="58" t="str">
        <x:v>Sets alcohol markers, nuanciers, pochettes rangement, packs débutant et premium.</x:v>
      </x:c>
      <x:c r="P15" s="59" t="str">
        <x:v>feutre a alcool</x:v>
      </x:c>
    </x:row>
    <x:row r="16">
      <x:c r="A16" s="57" t="n">
        <x:v>13</x:v>
      </x:c>
      <x:c r="B16" s="58" t="str">
        <x:v>Accessoires</x:v>
      </x:c>
      <x:c r="C16" s="58" t="str">
        <x:v>trousse kawaii</x:v>
      </x:c>
      <x:c r="D16" s="58" t="str">
        <x:v>Oui</x:v>
      </x:c>
      <x:c r="E16" s="58" t="str">
        <x:v>/collections/trousse-kawaii</x:v>
      </x:c>
      <x:c r="F16" s="79" t="n">
        <x:v>3800</x:v>
      </x:c>
      <x:c r="G16" s="87" t="n">
        <x:v>0</x:v>
      </x:c>
      <x:c r="H16" s="93" t="n">
        <x:v>0.14</x:v>
      </x:c>
      <x:c r="I16" s="58" t="str">
        <x:v>Transactionnelle</x:v>
      </x:c>
      <x:c r="J16" s="58" t="str">
        <x:v>P2</x:v>
      </x:c>
      <x:c r="K16" s="79" t="n">
        <x:v>20</x:v>
      </x:c>
      <x:c r="L16" s="93" t="n">
        <x:v>19.9</x:v>
      </x:c>
      <x:c r="M16" s="79" t="n">
        <x:f>ROUND((F16/(G16+1))*IF(J16="P1",1.2,IF(J16="P2",1,0.8)),0)</x:f>
        <x:v>3800</x:v>
      </x:c>
      <x:c r="N16" s="58" t="str">
        <x:v>Produit léger et cadeau</x:v>
      </x:c>
      <x:c r="O16" s="58" t="str">
        <x:v>Trousses mignonnes, pochettes feutres, rangement coloriage, lots rentrée.</x:v>
      </x:c>
      <x:c r="P16" s="59" t="str">
        <x:v>trousse kawaii</x:v>
      </x:c>
    </x:row>
    <x:row r="17">
      <x:c r="A17" s="57" t="n">
        <x:v>14</x:v>
      </x:c>
      <x:c r="B17" s="58" t="str">
        <x:v>Cadeaux creatifs</x:v>
      </x:c>
      <x:c r="C17" s="58" t="str">
        <x:v>marque page personnalisé</x:v>
      </x:c>
      <x:c r="D17" s="58" t="str">
        <x:v>Oui</x:v>
      </x:c>
      <x:c r="E17" s="58" t="str">
        <x:v>/collections/marque-page-personnalise</x:v>
      </x:c>
      <x:c r="F17" s="79" t="n">
        <x:v>3700</x:v>
      </x:c>
      <x:c r="G17" s="87" t="n">
        <x:v>1</x:v>
      </x:c>
      <x:c r="H17" s="93" t="n">
        <x:v>0.42</x:v>
      </x:c>
      <x:c r="I17" s="58" t="str">
        <x:v>Transactionnelle</x:v>
      </x:c>
      <x:c r="J17" s="58" t="str">
        <x:v>P2</x:v>
      </x:c>
      <x:c r="K17" s="79" t="n">
        <x:v>20</x:v>
      </x:c>
      <x:c r="L17" s="93" t="n">
        <x:v>14.9</x:v>
      </x:c>
      <x:c r="M17" s="79" t="n">
        <x:f>ROUND((F17/(G17+1))*IF(J17="P1",1.2,IF(J17="P2",1,0.8)),0)</x:f>
        <x:v>1850</x:v>
      </x:c>
      <x:c r="N17" s="58" t="str">
        <x:v>AOV par personnalisation</x:v>
      </x:c>
      <x:c r="O17" s="58" t="str">
        <x:v>Marque-pages prénom, chats, fleurs, citations, lots de 3 et bundle cahier.</x:v>
      </x:c>
      <x:c r="P17" s="59" t="str">
        <x:v>marque page personnalisé</x:v>
      </x:c>
    </x:row>
    <x:row r="18">
      <x:c r="A18" s="60" t="n">
        <x:v>15</x:v>
      </x:c>
      <x:c r="B18" s="61" t="str">
        <x:v>Cadeaux creatifs</x:v>
      </x:c>
      <x:c r="C18" s="61" t="str">
        <x:v>diamond painting personnalisé</x:v>
      </x:c>
      <x:c r="D18" s="61" t="str">
        <x:v>Oui</x:v>
      </x:c>
      <x:c r="E18" s="61" t="str">
        <x:v>/collections/diamond-painting-personnalise</x:v>
      </x:c>
      <x:c r="F18" s="80" t="n">
        <x:v>6000</x:v>
      </x:c>
      <x:c r="G18" s="88" t="n">
        <x:v>2</x:v>
      </x:c>
      <x:c r="H18" s="94" t="n">
        <x:v>0.71</x:v>
      </x:c>
      <x:c r="I18" s="61" t="str">
        <x:v>Transactionnelle</x:v>
      </x:c>
      <x:c r="J18" s="61" t="str">
        <x:v>P2</x:v>
      </x:c>
      <x:c r="K18" s="80" t="n">
        <x:v>30</x:v>
      </x:c>
      <x:c r="L18" s="94" t="n">
        <x:v>34.9</x:v>
      </x:c>
      <x:c r="M18" s="80" t="n">
        <x:f>ROUND((F18/(G18+1))*IF(J18="P1",1.2,IF(J18="P2",1,0.8)),0)</x:f>
        <x:v>2000</x:v>
      </x:c>
      <x:c r="N18" s="61" t="str">
        <x:v>Produit cadeau à marge</x:v>
      </x:c>
      <x:c r="O18" s="61" t="str">
        <x:v>Kits personnalisés, formats petits faciles à expédier, modèles animaux kawaii.</x:v>
      </x:c>
      <x:c r="P18" s="62" t="str">
        <x:v>diamond painting personnalisé</x:v>
      </x:c>
    </x:row>
  </x:sheetData>
  <x:mergeCells>
    <x:mergeCell ref="A1:P1"/>
  </x:mergeCells>
  <x:dataValidations count="2">
    <x:dataValidation type="list" sqref="D4:D18">
      <x:formula1>"Oui,Non"</x:formula1>
    </x:dataValidation>
    <x:dataValidation type="list" sqref="J4:J18">
      <x:formula1>"P1,P2,P3"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2" hidden="0" customWidth="1"/>
    <x:col min="4" max="4" width="12" hidden="0" customWidth="1"/>
    <x:col min="5" max="5" width="45" hidden="0" customWidth="1"/>
    <x:col min="6" max="6" width="58" hidden="0" customWidth="1"/>
    <x:col min="7" max="7" width="34" hidden="0" customWidth="1"/>
    <x:col min="8" max="8" width="38" hidden="0" customWidth="1"/>
    <x:col min="9" max="9" width="10" hidden="0" customWidth="1"/>
    <x:col min="10" max="10" width="42" hidden="0" customWidth="1"/>
  </x:cols>
  <x:sheetData>
    <x:row r="1" ht="34" customHeight="1">
      <x:c r="A1" s="133" t="str">
        <x:v>Plan SKU - 300+ produits sans sortir du theme</x:v>
      </x:c>
      <x:c r="B1" s="133" t="str">
        <x:v>Plan SKU - 300+ produits sans sortir du theme</x:v>
      </x:c>
      <x:c r="C1" s="133" t="str">
        <x:v>Plan SKU - 300+ produits sans sortir du theme</x:v>
      </x:c>
      <x:c r="D1" s="133" t="str">
        <x:v>Plan SKU - 300+ produits sans sortir du theme</x:v>
      </x:c>
      <x:c r="E1" s="133" t="str">
        <x:v>Plan SKU - 300+ produits sans sortir du theme</x:v>
      </x:c>
      <x:c r="F1" s="133" t="str">
        <x:v>Plan SKU - 300+ produits sans sortir du theme</x:v>
      </x:c>
      <x:c r="G1" s="133" t="str">
        <x:v>Plan SKU - 300+ produits sans sortir du theme</x:v>
      </x:c>
      <x:c r="H1" s="133" t="str">
        <x:v>Plan SKU - 300+ produits sans sortir du theme</x:v>
      </x:c>
      <x:c r="I1" s="133" t="str">
        <x:v>Plan SKU - 300+ produits sans sortir du theme</x:v>
      </x:c>
      <x:c r="J1" s="133" t="str">
        <x:v>Plan SKU - 300+ produits sans sortir du theme</x:v>
      </x:c>
    </x:row>
    <x:row r="2">
      <x:c r="A2" s="58"/>
      <x:c r="B2" s="58"/>
      <x:c r="C2" s="58"/>
      <x:c r="D2" s="58"/>
      <x:c r="E2" s="58"/>
      <x:c r="F2" s="58"/>
      <x:c r="G2" s="58"/>
      <x:c r="H2" s="58"/>
      <x:c r="I2" s="58"/>
      <x:c r="J2" s="58"/>
    </x:row>
    <x:row r="3">
      <x:c r="A3" s="135" t="str">
        <x:v>Collection = mot-cle</x:v>
      </x:c>
      <x:c r="B3" s="136" t="str">
        <x:v>Pilier</x:v>
      </x:c>
      <x:c r="C3" s="136" t="str">
        <x:v>SKU cible</x:v>
      </x:c>
      <x:c r="D3" s="136" t="str">
        <x:v>Prix moyen cible</x:v>
      </x:c>
      <x:c r="E3" s="136" t="str">
        <x:v>Repartition SKU</x:v>
      </x:c>
      <x:c r="F3" s="136" t="str">
        <x:v>Exemples produits</x:v>
      </x:c>
      <x:c r="G3" s="136" t="str">
        <x:v>Bundle prioritaire</x:v>
      </x:c>
      <x:c r="H3" s="136" t="str">
        <x:v>Recherche sourcing AliExpress</x:v>
      </x:c>
      <x:c r="I3" s="136" t="str">
        <x:v>Priorite</x:v>
      </x:c>
      <x:c r="J3" s="137" t="str">
        <x:v>Risque a eviter</x:v>
      </x:c>
    </x:row>
    <x:row r="4">
      <x:c r="A4" s="54" t="str">
        <x:v>coloriage kawaii</x:v>
      </x:c>
      <x:c r="B4" s="55" t="str">
        <x:v>Coloriages</x:v>
      </x:c>
      <x:c r="C4" s="78" t="n">
        <x:v>45</x:v>
      </x:c>
      <x:c r="D4" s="92" t="n">
        <x:v>24.9</x:v>
      </x:c>
      <x:c r="E4" s="55" t="str">
        <x:v>15 livres thématiques, 10 carnets, 10 packs pages, 5 bundles feutres, 5 éditions cadeau</x:v>
      </x:c>
      <x:c r="F4" s="55" t="str">
        <x:v>Livres, carnets, packs imprimés, bundles découverte. Page mère à mailler vers tous les thèmes kawaii.</x:v>
      </x:c>
      <x:c r="G4" s="55" t="str">
        <x:v>Bundle coloriage kawaii + feutres + marque-page</x:v>
      </x:c>
      <x:c r="H4" s="55" t="str">
        <x:v>kawaii coloring book, cute coloring pages book, kids coloring book bundle</x:v>
      </x:c>
      <x:c r="I4" s="55" t="str">
        <x:v>P1</x:v>
      </x:c>
      <x:c r="J4" s="56" t="str">
        <x:v>Verifier qualite papier, delais, packaging et photos fournisseurs.</x:v>
      </x:c>
    </x:row>
    <x:row r="5">
      <x:c r="A5" s="57" t="str">
        <x:v>coloriage adulte</x:v>
      </x:c>
      <x:c r="B5" s="58" t="str">
        <x:v>Coloriages</x:v>
      </x:c>
      <x:c r="C5" s="79" t="n">
        <x:v>35</x:v>
      </x:c>
      <x:c r="D5" s="93" t="n">
        <x:v>29.9</x:v>
      </x:c>
      <x:c r="E5" s="58" t="str">
        <x:v>12 livres premium, 8 mandalas kawaii, 6 kits relaxation, 5 carnets papier épais, 4 bundles</x:v>
      </x:c>
      <x:c r="F5" s="58" t="str">
        <x:v>Cahiers anti-stress, mandalas kawaii, carnets premium papier épais, packs feutres + livre.</x:v>
      </x:c>
      <x:c r="G5" s="58" t="str">
        <x:v>Bundle coloriage adulte + feutres + marque-page</x:v>
      </x:c>
      <x:c r="H5" s="58" t="str">
        <x:v>adult coloring book, stress relief coloring book, cute mandala coloring</x:v>
      </x:c>
      <x:c r="I5" s="58" t="str">
        <x:v>P1</x:v>
      </x:c>
      <x:c r="J5" s="59" t="str">
        <x:v>Verifier qualite papier, delais, packaging et photos fournisseurs.</x:v>
      </x:c>
    </x:row>
    <x:row r="6">
      <x:c r="A6" s="57" t="str">
        <x:v>coloriage magique</x:v>
      </x:c>
      <x:c r="B6" s="58" t="str">
        <x:v>Coloriages</x:v>
      </x:c>
      <x:c r="C6" s="79" t="n">
        <x:v>30</x:v>
      </x:c>
      <x:c r="D6" s="93" t="n">
        <x:v>22.9</x:v>
      </x:c>
      <x:c r="E6" s="58" t="str">
        <x:v>10 livres eau, 8 feutres magiques, 6 cahiers réutilisables, 4 sets anniversaire, 2 packs voyage</x:v>
      </x:c>
      <x:c r="F6" s="58" t="str">
        <x:v>Livres à révélation, feutres magiques, cahiers effaçables, packs cadeaux anniversaire.</x:v>
      </x:c>
      <x:c r="G6" s="58" t="str">
        <x:v>Bundle coloriage magique + feutres + marque-page</x:v>
      </x:c>
      <x:c r="H6" s="58" t="str">
        <x:v>magic coloring book, reusable coloring book, water coloring book</x:v>
      </x:c>
      <x:c r="I6" s="58" t="str">
        <x:v>P1</x:v>
      </x:c>
      <x:c r="J6" s="59" t="str">
        <x:v>Verifier qualite papier, delais, packaging et photos fournisseurs.</x:v>
      </x:c>
    </x:row>
    <x:row r="7">
      <x:c r="A7" s="57" t="str">
        <x:v>coloriage mystere</x:v>
      </x:c>
      <x:c r="B7" s="58" t="str">
        <x:v>Coloriages</x:v>
      </x:c>
      <x:c r="C7" s="79" t="n">
        <x:v>30</x:v>
      </x:c>
      <x:c r="D7" s="93" t="n">
        <x:v>24.9</x:v>
      </x:c>
      <x:c r="E7" s="58" t="str">
        <x:v>10 livres par numéros, 8 pixel art, 6 cartes mystère, 4 packs animaux, 2 mini formats</x:v>
      </x:c>
      <x:c r="F7" s="58" t="str">
        <x:v>Coloriages mystères par numéros, pixels kawaii, animaux cachés, cartes surprises.</x:v>
      </x:c>
      <x:c r="G7" s="58" t="str">
        <x:v>Bundle coloriage mystere + feutres + marque-page</x:v>
      </x:c>
      <x:c r="H7" s="58" t="str">
        <x:v>mystery coloring book, color by number cute, pixel coloring book</x:v>
      </x:c>
      <x:c r="I7" s="58" t="str">
        <x:v>P1</x:v>
      </x:c>
      <x:c r="J7" s="59" t="str">
        <x:v>Verifier qualite papier, delais, packaging et photos fournisseurs.</x:v>
      </x:c>
    </x:row>
    <x:row r="8">
      <x:c r="A8" s="57" t="str">
        <x:v>coloriage cosy</x:v>
      </x:c>
      <x:c r="B8" s="58" t="str">
        <x:v>Coloriages</x:v>
      </x:c>
      <x:c r="C8" s="79" t="n">
        <x:v>30</x:v>
      </x:c>
      <x:c r="D8" s="93" t="n">
        <x:v>27.9</x:v>
      </x:c>
      <x:c r="E8" s="58" t="str">
        <x:v>10 livres cocooning, 6 automne, 5 chats, 5 cottagecore, 4 bundles détente</x:v>
      </x:c>
      <x:c r="F8" s="58" t="str">
        <x:v>Univers cocooning : chats, thé, maison, automne, journaling, packs relaxation.</x:v>
      </x:c>
      <x:c r="G8" s="58" t="str">
        <x:v>Bundle coloriage cosy + feutres + marque-page</x:v>
      </x:c>
      <x:c r="H8" s="58" t="str">
        <x:v>cozy coloring book, cottagecore coloring book, cute home coloring</x:v>
      </x:c>
      <x:c r="I8" s="58" t="str">
        <x:v>P1</x:v>
      </x:c>
      <x:c r="J8" s="59" t="str">
        <x:v>Verifier qualite papier, delais, packaging et photos fournisseurs.</x:v>
      </x:c>
    </x:row>
    <x:row r="9">
      <x:c r="A9" s="57" t="str">
        <x:v>coloriage manga</x:v>
      </x:c>
      <x:c r="B9" s="58" t="str">
        <x:v>Coloriages</x:v>
      </x:c>
      <x:c r="C9" s="79" t="n">
        <x:v>25</x:v>
      </x:c>
      <x:c r="D9" s="93" t="n">
        <x:v>24.9</x:v>
      </x:c>
      <x:c r="E9" s="58" t="str">
        <x:v>8 chibi, 6 personnages originaux, 5 expressions, 4 tenues, 2 apprentissage dessin</x:v>
      </x:c>
      <x:c r="F9" s="58" t="str">
        <x:v>Personnages originaux manga/chibi, expressions, tenues, cahiers apprentissage dessin.</x:v>
      </x:c>
      <x:c r="G9" s="58" t="str">
        <x:v>Bundle coloriage manga + feutres + marque-page</x:v>
      </x:c>
      <x:c r="H9" s="58" t="str">
        <x:v>manga coloring book, chibi coloring book, anime style coloring book</x:v>
      </x:c>
      <x:c r="I9" s="58" t="str">
        <x:v>P2</x:v>
      </x:c>
      <x:c r="J9" s="59" t="str">
        <x:v>Eviter personnages sous licence et visuels copies.</x:v>
      </x:c>
    </x:row>
    <x:row r="10">
      <x:c r="A10" s="57" t="str">
        <x:v>coloriage foot</x:v>
      </x:c>
      <x:c r="B10" s="58" t="str">
        <x:v>Coloriages</x:v>
      </x:c>
      <x:c r="C10" s="79" t="n">
        <x:v>25</x:v>
      </x:c>
      <x:c r="D10" s="93" t="n">
        <x:v>19.9</x:v>
      </x:c>
      <x:c r="E10" s="58" t="str">
        <x:v>8 cahiers football, 6 packs anniversaire, 5 ballons/trophées, 4 mini livres, 2 stickers</x:v>
      </x:c>
      <x:c r="F10" s="58" t="str">
        <x:v>Coloriages football génériques, maillots non licenciés, trophées, ballons, activités anniversaire.</x:v>
      </x:c>
      <x:c r="G10" s="58" t="str">
        <x:v>Bundle coloriage foot + feutres + marque-page</x:v>
      </x:c>
      <x:c r="H10" s="58" t="str">
        <x:v>football coloring book, soccer coloring pages book, sports coloring book</x:v>
      </x:c>
      <x:c r="I10" s="58" t="str">
        <x:v>P2</x:v>
      </x:c>
      <x:c r="J10" s="59" t="str">
        <x:v>Verifier qualite papier, delais, packaging et photos fournisseurs.</x:v>
      </x:c>
    </x:row>
    <x:row r="11">
      <x:c r="A11" s="57" t="str">
        <x:v>coloriage fille</x:v>
      </x:c>
      <x:c r="B11" s="58" t="str">
        <x:v>Coloriages</x:v>
      </x:c>
      <x:c r="C11" s="79" t="n">
        <x:v>25</x:v>
      </x:c>
      <x:c r="D11" s="93" t="n">
        <x:v>19.9</x:v>
      </x:c>
      <x:c r="E11" s="58" t="str">
        <x:v>8 licornes, 6 animaux, 5 sirènes, 4 mode, 2 packs stickers</x:v>
      </x:c>
      <x:c r="F11" s="58" t="str">
        <x:v>Licornes, animaux mignons, sirènes, mode, stickers. Attention à garder un wording inclusif en site.</x:v>
      </x:c>
      <x:c r="G11" s="58" t="str">
        <x:v>Bundle coloriage fille + feutres + marque-page</x:v>
      </x:c>
      <x:c r="H11" s="58" t="str">
        <x:v>girls coloring book, unicorn coloring book, cute animals coloring</x:v>
      </x:c>
      <x:c r="I11" s="58" t="str">
        <x:v>P2</x:v>
      </x:c>
      <x:c r="J11" s="59" t="str">
        <x:v>Verifier qualite papier, delais, packaging et photos fournisseurs.</x:v>
      </x:c>
    </x:row>
    <x:row r="12">
      <x:c r="A12" s="57" t="str">
        <x:v>coloriage kawaii fille</x:v>
      </x:c>
      <x:c r="B12" s="58" t="str">
        <x:v>Coloriages</x:v>
      </x:c>
      <x:c r="C12" s="79" t="n">
        <x:v>25</x:v>
      </x:c>
      <x:c r="D12" s="93" t="n">
        <x:v>19.9</x:v>
      </x:c>
      <x:c r="E12" s="58" t="str">
        <x:v>8 livres kawaii, 6 animaux, 5 sirènes/licornes, 4 mini carnets, 2 bundles</x:v>
      </x:c>
      <x:c r="F12" s="58" t="str">
        <x:v>Déclinaison plus ciblée de la page pilier, à mailler depuis coloriage kawaii et coloriage fille.</x:v>
      </x:c>
      <x:c r="G12" s="58" t="str">
        <x:v>Bundle coloriage kawaii fille + feutres + marque-page</x:v>
      </x:c>
      <x:c r="H12" s="58" t="str">
        <x:v>kawaii girl coloring book, cute coloring book girl, kawaii activity book</x:v>
      </x:c>
      <x:c r="I12" s="58" t="str">
        <x:v>P2</x:v>
      </x:c>
      <x:c r="J12" s="59" t="str">
        <x:v>Verifier qualite papier, delais, packaging et photos fournisseurs.</x:v>
      </x:c>
    </x:row>
    <x:row r="13">
      <x:c r="A13" s="57" t="str">
        <x:v>chat kawaii</x:v>
      </x:c>
      <x:c r="B13" s="58" t="str">
        <x:v>Thèmes kawaii</x:v>
      </x:c>
      <x:c r="C13" s="79" t="n">
        <x:v>20</x:v>
      </x:c>
      <x:c r="D13" s="93" t="n">
        <x:v>22.9</x:v>
      </x:c>
      <x:c r="E13" s="58" t="str">
        <x:v>8 livres chats, 4 stickers, 4 marque-pages, 2 cartes, 2 mini carnets</x:v>
      </x:c>
      <x:c r="F13" s="58" t="str">
        <x:v>Collection de livres, stickers, marque-pages et mini kits autour du chat kawaii.</x:v>
      </x:c>
      <x:c r="G13" s="58" t="str">
        <x:v>Bundle chat kawaii + feutres + marque-page</x:v>
      </x:c>
      <x:c r="H13" s="58" t="str">
        <x:v>kawaii cat coloring book, cute cat stationery, cat sticker book</x:v>
      </x:c>
      <x:c r="I13" s="58" t="str">
        <x:v>P2</x:v>
      </x:c>
      <x:c r="J13" s="59" t="str">
        <x:v>Eviter personnages sous licence et visuels copies.</x:v>
      </x:c>
    </x:row>
    <x:row r="14">
      <x:c r="A14" s="57" t="str">
        <x:v>feutre acrylique</x:v>
      </x:c>
      <x:c r="B14" s="58" t="str">
        <x:v>Accessoires</x:v>
      </x:c>
      <x:c r="C14" s="79" t="n">
        <x:v>40</x:v>
      </x:c>
      <x:c r="D14" s="93" t="n">
        <x:v>29.9</x:v>
      </x:c>
      <x:c r="E14" s="58" t="str">
        <x:v>12 sets pastel, 8 pointes fines, 6 double pointe, 6 kits surfaces, 8 bundles</x:v>
      </x:c>
      <x:c r="F14" s="58" t="str">
        <x:v>Sets de feutres, pointes fines, packs couleurs pastel, bundle avec cahiers papier épais.</x:v>
      </x:c>
      <x:c r="G14" s="58" t="str">
        <x:v>Bundle feutre acrylique + coloriage kawaii</x:v>
      </x:c>
      <x:c r="H14" s="58" t="str">
        <x:v>acrylic markers set pastel, acrylic paint pens, dual tip acrylic markers</x:v>
      </x:c>
      <x:c r="I14" s="58" t="str">
        <x:v>P1</x:v>
      </x:c>
      <x:c r="J14" s="59" t="str">
        <x:v>Verifier qualite papier, delais, packaging et photos fournisseurs.</x:v>
      </x:c>
    </x:row>
    <x:row r="15">
      <x:c r="A15" s="57" t="str">
        <x:v>feutre a alcool</x:v>
      </x:c>
      <x:c r="B15" s="58" t="str">
        <x:v>Accessoires</x:v>
      </x:c>
      <x:c r="C15" s="79" t="n">
        <x:v>30</x:v>
      </x:c>
      <x:c r="D15" s="93" t="n">
        <x:v>34.9</x:v>
      </x:c>
      <x:c r="E15" s="58" t="str">
        <x:v>10 sets débutant, 8 sets premium, 5 nuanciers, 4 pochettes, 3 bundles livre</x:v>
      </x:c>
      <x:c r="F15" s="58" t="str">
        <x:v>Sets alcohol markers, nuanciers, pochettes rangement, packs débutant et premium.</x:v>
      </x:c>
      <x:c r="G15" s="58" t="str">
        <x:v>Bundle feutre a alcool + coloriage kawaii</x:v>
      </x:c>
      <x:c r="H15" s="58" t="str">
        <x:v>alcohol markers set, dual tip alcohol marker, marker storage case</x:v>
      </x:c>
      <x:c r="I15" s="58" t="str">
        <x:v>P2</x:v>
      </x:c>
      <x:c r="J15" s="59" t="str">
        <x:v>Verifier qualite papier, delais, packaging et photos fournisseurs.</x:v>
      </x:c>
    </x:row>
    <x:row r="16">
      <x:c r="A16" s="57" t="str">
        <x:v>trousse kawaii</x:v>
      </x:c>
      <x:c r="B16" s="58" t="str">
        <x:v>Accessoires</x:v>
      </x:c>
      <x:c r="C16" s="79" t="n">
        <x:v>20</x:v>
      </x:c>
      <x:c r="D16" s="93" t="n">
        <x:v>19.9</x:v>
      </x:c>
      <x:c r="E16" s="58" t="str">
        <x:v>8 trousses grands formats, 5 pochettes feutres, 4 lots rentrée, 3 trousses personnalisées</x:v>
      </x:c>
      <x:c r="F16" s="58" t="str">
        <x:v>Trousses mignonnes, pochettes feutres, rangement coloriage, lots rentrée.</x:v>
      </x:c>
      <x:c r="G16" s="58" t="str">
        <x:v>Bundle trousse kawaii + coloriage kawaii</x:v>
      </x:c>
      <x:c r="H16" s="58" t="str">
        <x:v>kawaii pencil case, cute stationery pouch, marker pencil case</x:v>
      </x:c>
      <x:c r="I16" s="58" t="str">
        <x:v>P2</x:v>
      </x:c>
      <x:c r="J16" s="59" t="str">
        <x:v>Verifier qualite papier, delais, packaging et photos fournisseurs.</x:v>
      </x:c>
    </x:row>
    <x:row r="17">
      <x:c r="A17" s="57" t="str">
        <x:v>marque page personnalisé</x:v>
      </x:c>
      <x:c r="B17" s="58" t="str">
        <x:v>Cadeaux creatifs</x:v>
      </x:c>
      <x:c r="C17" s="79" t="n">
        <x:v>20</x:v>
      </x:c>
      <x:c r="D17" s="93" t="n">
        <x:v>14.9</x:v>
      </x:c>
      <x:c r="E17" s="58" t="str">
        <x:v>8 prénoms, 4 chats, 4 fleurs, 2 citations, 2 lots cadeau</x:v>
      </x:c>
      <x:c r="F17" s="58" t="str">
        <x:v>Marque-pages prénom, chats, fleurs, citations, lots de 3 et bundle cahier.</x:v>
      </x:c>
      <x:c r="G17" s="58" t="str">
        <x:v>Bundle marque page personnalisé + feutres + marque-page</x:v>
      </x:c>
      <x:c r="H17" s="58" t="str">
        <x:v>custom bookmark, personalized bookmark, cute bookmark set</x:v>
      </x:c>
      <x:c r="I17" s="58" t="str">
        <x:v>P2</x:v>
      </x:c>
      <x:c r="J17" s="59" t="str">
        <x:v>Verifier qualite papier, delais, packaging et photos fournisseurs.</x:v>
      </x:c>
    </x:row>
    <x:row r="18">
      <x:c r="A18" s="60" t="str">
        <x:v>diamond painting personnalisé</x:v>
      </x:c>
      <x:c r="B18" s="61" t="str">
        <x:v>Cadeaux creatifs</x:v>
      </x:c>
      <x:c r="C18" s="80" t="n">
        <x:v>30</x:v>
      </x:c>
      <x:c r="D18" s="94" t="n">
        <x:v>34.9</x:v>
      </x:c>
      <x:c r="E18" s="61" t="str">
        <x:v>10 formats portrait, 6 animaux, 5 mini kits, 5 packs cadeau, 4 accessoires</x:v>
      </x:c>
      <x:c r="F18" s="61" t="str">
        <x:v>Kits personnalisés, formats petits faciles à expédier, modèles animaux kawaii.</x:v>
      </x:c>
      <x:c r="G18" s="61" t="str">
        <x:v>Bundle diamond painting personnalisé + feutres + marque-page</x:v>
      </x:c>
      <x:c r="H18" s="61" t="str">
        <x:v>custom diamond painting kit, personalized diamond painting, small diamond art kit</x:v>
      </x:c>
      <x:c r="I18" s="61" t="str">
        <x:v>P2</x:v>
      </x:c>
      <x:c r="J18" s="62" t="str">
        <x:v>Verifier qualite papier, delais, packaging et photos fournisseurs.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8" hidden="0" customWidth="1"/>
    <x:col min="4" max="4" width="32" hidden="0" customWidth="1"/>
    <x:col min="5" max="5" width="52" hidden="0" customWidth="1"/>
    <x:col min="6" max="6" width="30" hidden="0" customWidth="1"/>
    <x:col min="7" max="7" width="30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14" hidden="0" customWidth="1"/>
    <x:col min="14" max="14" width="18" hidden="0" customWidth="1"/>
  </x:cols>
  <x:sheetData>
    <x:row r="1" ht="34" customHeight="1">
      <x:c r="A1" s="133" t="str">
        <x:v>Concurrents spécialisés - coloriage kawaii et cosy</x:v>
      </x:c>
      <x:c r="B1" s="133" t="str">
        <x:v>Concurrents spécialisés - coloriage kawaii et cosy</x:v>
      </x:c>
      <x:c r="C1" s="133" t="str">
        <x:v>Concurrents spécialisés - coloriage kawaii et cosy</x:v>
      </x:c>
      <x:c r="D1" s="133" t="str">
        <x:v>Concurrents spécialisés - coloriage kawaii et cosy</x:v>
      </x:c>
      <x:c r="E1" s="133" t="str">
        <x:v>Concurrents spécialisés - coloriage kawaii et cosy</x:v>
      </x:c>
      <x:c r="F1" s="133" t="str">
        <x:v>Concurrents spécialisés - coloriage kawaii et cosy</x:v>
      </x:c>
      <x:c r="G1" s="133" t="str">
        <x:v>Concurrents spécialisés - coloriage kawaii et cosy</x:v>
      </x:c>
      <x:c r="H1" s="133" t="str">
        <x:v>Concurrents spécialisés - coloriage kawaii et cosy</x:v>
      </x:c>
      <x:c r="I1" s="133" t="str">
        <x:v>Concurrents spécialisés - coloriage kawaii et cosy</x:v>
      </x:c>
      <x:c r="J1" s="133" t="str">
        <x:v>Concurrents spécialisés - coloriage kawaii et cosy</x:v>
      </x:c>
      <x:c r="K1" s="133" t="str">
        <x:v>Concurrents spécialisés - coloriage kawaii et cosy</x:v>
      </x:c>
      <x:c r="L1" s="133" t="str">
        <x:v>Concurrents spécialisés - coloriage kawaii et cosy</x:v>
      </x:c>
      <x:c r="M1" s="133" t="str">
        <x:v>Concurrents spécialisés - coloriage kawaii et cosy</x:v>
      </x:c>
      <x:c r="N1" s="133" t="str">
        <x:v>Concurrents spécialisés - coloriage kawaii et cosy</x:v>
      </x:c>
    </x:row>
    <x:row r="2">
      <x:c r="A2" s="134" t="str">
        <x:v>Pure players et mini-marques vérifiés le 2026-07-10. Marketplaces, grandes enseignes et sites sans vente directe sont exclus.</x:v>
      </x:c>
      <x:c r="B2" s="134" t="str">
        <x:v>Pure players et mini-marques vérifiés le 2026-07-10. Marketplaces, grandes enseignes et sites sans vente directe sont exclus.</x:v>
      </x:c>
      <x:c r="C2" s="134" t="str">
        <x:v>Pure players et mini-marques vérifiés le 2026-07-10. Marketplaces, grandes enseignes et sites sans vente directe sont exclus.</x:v>
      </x:c>
      <x:c r="D2" s="134" t="str">
        <x:v>Pure players et mini-marques vérifiés le 2026-07-10. Marketplaces, grandes enseignes et sites sans vente directe sont exclus.</x:v>
      </x:c>
      <x:c r="E2" s="134" t="str">
        <x:v>Pure players et mini-marques vérifiés le 2026-07-10. Marketplaces, grandes enseignes et sites sans vente directe sont exclus.</x:v>
      </x:c>
      <x:c r="F2" s="134" t="str">
        <x:v>Pure players et mini-marques vérifiés le 2026-07-10. Marketplaces, grandes enseignes et sites sans vente directe sont exclus.</x:v>
      </x:c>
      <x:c r="G2" s="134" t="str">
        <x:v>Pure players et mini-marques vérifiés le 2026-07-10. Marketplaces, grandes enseignes et sites sans vente directe sont exclus.</x:v>
      </x:c>
      <x:c r="H2" s="134" t="str">
        <x:v>Pure players et mini-marques vérifiés le 2026-07-10. Marketplaces, grandes enseignes et sites sans vente directe sont exclus.</x:v>
      </x:c>
      <x:c r="I2" s="134" t="str">
        <x:v>Pure players et mini-marques vérifiés le 2026-07-10. Marketplaces, grandes enseignes et sites sans vente directe sont exclus.</x:v>
      </x:c>
      <x:c r="J2" s="134" t="str">
        <x:v>Pure players et mini-marques vérifiés le 2026-07-10. Marketplaces, grandes enseignes et sites sans vente directe sont exclus.</x:v>
      </x:c>
      <x:c r="K2" s="134" t="str">
        <x:v>Pure players et mini-marques vérifiés le 2026-07-10. Marketplaces, grandes enseignes et sites sans vente directe sont exclus.</x:v>
      </x:c>
      <x:c r="L2" s="134" t="str">
        <x:v>Pure players et mini-marques vérifiés le 2026-07-10. Marketplaces, grandes enseignes et sites sans vente directe sont exclus.</x:v>
      </x:c>
      <x:c r="M2" s="134" t="str">
        <x:v>Pure players et mini-marques vérifiés le 2026-07-10. Marketplaces, grandes enseignes et sites sans vente directe sont exclus.</x:v>
      </x:c>
      <x:c r="N2" s="134" t="str">
        <x:v>Pure players et mini-marques vérifiés le 2026-07-10. Marketplaces, grandes enseignes et sites sans vente directe sont exclus.</x:v>
      </x:c>
    </x:row>
    <x:row r="3">
      <x:c r="A3" s="135" t="str">
        <x:v>Concurrent</x:v>
      </x:c>
      <x:c r="B3" s="136" t="str">
        <x:v>URL</x:v>
      </x:c>
      <x:c r="C3" s="136" t="str">
        <x:v>Pays / langue</x:v>
      </x:c>
      <x:c r="D3" s="136" t="str">
        <x:v>Livraison France</x:v>
      </x:c>
      <x:c r="E3" s="136" t="str">
        <x:v>Positionnement</x:v>
      </x:c>
      <x:c r="F3" s="136" t="str">
        <x:v>Spécialisation</x:v>
      </x:c>
      <x:c r="G3" s="136" t="str">
        <x:v>Prix repère</x:v>
      </x:c>
      <x:c r="H3" s="136" t="str">
        <x:v>Maturité visible</x:v>
      </x:c>
      <x:c r="I3" s="136" t="str">
        <x:v>Forces</x:v>
      </x:c>
      <x:c r="J3" s="136" t="str">
        <x:v>Faiblesses</x:v>
      </x:c>
      <x:c r="K3" s="136" t="str">
        <x:v>Opportunité pour la boutique</x:v>
      </x:c>
      <x:c r="L3" s="136" t="str">
        <x:v>URL de preuve</x:v>
      </x:c>
      <x:c r="M3" s="136" t="str">
        <x:v>Menace FR</x:v>
      </x:c>
      <x:c r="N3" s="137" t="str">
        <x:v>Date vérification</x:v>
      </x:c>
    </x:row>
    <x:row r="4">
      <x:c r="A4" s="54" t="str">
        <x:v>AICrayons</x:v>
      </x:c>
      <x:c r="B4" s="55" t="str">
        <x:v>https://aicrayons.fr/</x:v>
      </x:c>
      <x:c r="C4" s="55" t="str">
        <x:v>France / français</x:v>
      </x:c>
      <x:c r="D4" s="55" t="str">
        <x:v>Oui - acteur local</x:v>
      </x:c>
      <x:c r="E4" s="55" t="str">
        <x:v>Carnets physiques et PDF kawaii, chibi, cosy, fantasy et grayscale.</x:v>
      </x:c>
      <x:c r="F4" s="55" t="str">
        <x:v>Très proche</x:v>
      </x:c>
      <x:c r="G4" s="55" t="str">
        <x:v>13,90 EUR le carnet spiralé observé</x:v>
      </x:c>
      <x:c r="H4" s="55" t="str">
        <x:v>Catalogue étoffé, CGV et retours structurés; peu d'avis visibles.</x:v>
      </x:c>
      <x:c r="I4" s="55" t="str">
        <x:v>Livraison locale, physique + numérique, papier 120 g, prix accessible.</x:v>
      </x:c>
      <x:c r="J4" s="55" t="str">
        <x:v>Univers graphique dispersé et peu incarné.</x:v>
      </x:c>
      <x:c r="K4" s="55" t="str">
        <x:v>Construire une marque kawaii cohérente avec mascottes et preuves de qualité.</x:v>
      </x:c>
      <x:c r="L4" s="55" t="str">
        <x:v>https://aicrayons.fr/produit/carnet-a-spirale-les-zanimaux-kawaii/</x:v>
      </x:c>
      <x:c r="M4" s="55" t="str">
        <x:v>Haute</x:v>
      </x:c>
      <x:c r="N4" s="56" t="str">
        <x:v>2026-07-10</x:v>
      </x:c>
    </x:row>
    <x:row r="5">
      <x:c r="A5" s="57" t="str">
        <x:v>MyCuttieBox</x:v>
      </x:c>
      <x:c r="B5" s="58" t="str">
        <x:v>https://mycuttiebox.fr/</x:v>
      </x:c>
      <x:c r="C5" s="58" t="str">
        <x:v>France / français</x:v>
      </x:c>
      <x:c r="D5" s="58" t="str">
        <x:v>Oui - acteur local</x:v>
      </x:c>
      <x:c r="E5" s="58" t="str">
        <x:v>Box cosy avec carnet, marqueur blanc, bougie, stickers et bijou de sac.</x:v>
      </x:c>
      <x:c r="F5" s="58" t="str">
        <x:v>Concept extrêmement proche</x:v>
      </x:c>
      <x:c r="G5" s="58" t="str">
        <x:v>24,90-29,90 EUR la box</x:v>
      </x:c>
      <x:c r="H5" s="58" t="str">
        <x:v>Première édition en précommande; bonus limité aux premières commandes.</x:v>
      </x:c>
      <x:c r="I5" s="58" t="str">
        <x:v>Concept cadeau, panier moyen supérieur, mascottes et illustrations propriétaires.</x:v>
      </x:c>
      <x:c r="J5" s="58" t="str">
        <x:v>Faible profondeur de catalogue, logistique de box, offre encore saisonnière.</x:v>
      </x:c>
      <x:c r="K5" s="58" t="str">
        <x:v>Déployer des collections permanentes et des kits personnalisables.</x:v>
      </x:c>
      <x:c r="L5" s="58" t="str">
        <x:v>https://mycuttiebox.fr/precommande/product-box-cosy-page</x:v>
      </x:c>
      <x:c r="M5" s="58" t="str">
        <x:v>Haute</x:v>
      </x:c>
      <x:c r="N5" s="59" t="str">
        <x:v>2026-07-10</x:v>
      </x:c>
    </x:row>
    <x:row r="6">
      <x:c r="A6" s="57" t="str">
        <x:v>Nippon Kawaii</x:v>
      </x:c>
      <x:c r="B6" s="58" t="str">
        <x:v>https://www.nipponkawaii.nl/en/</x:v>
      </x:c>
      <x:c r="C6" s="58" t="str">
        <x:v>Pays-Bas / NL-EN-DE</x:v>
      </x:c>
      <x:c r="D6" s="58" t="str">
        <x:v>Oui - expédition UE</x:v>
      </x:c>
      <x:c r="E6" s="58" t="str">
        <x:v>Boutique kawaii avec livres cosy, peluches, papeterie et accessoires.</x:v>
      </x:c>
      <x:c r="F6" s="58" t="str">
        <x:v>Proche - coloriage secondaire</x:v>
      </x:c>
      <x:c r="G6" s="58" t="str">
        <x:v>Livraison France affichée à partir de 9,99 EUR</x:v>
      </x:c>
      <x:c r="H6" s="58" t="str">
        <x:v>Depuis 2016, 540+ avis et note annoncée de 9,8/10.</x:v>
      </x:c>
      <x:c r="I6" s="58" t="str">
        <x:v>Confiance, stock UE, licences officielles, expédition rapide et cross-sell.</x:v>
      </x:c>
      <x:c r="J6" s="58" t="str">
        <x:v>Peu de livres cosy, ruptures et aucune localisation française.</x:v>
      </x:c>
      <x:c r="K6" s="58" t="str">
        <x:v>Proposer plus de profondeur, du SEO français et des bundles spécialisés.</x:v>
      </x:c>
      <x:c r="L6" s="58" t="str">
        <x:v>https://www.nipponkawaii.nl/en/collections/cozy-coloring-books-1</x:v>
      </x:c>
      <x:c r="M6" s="58" t="str">
        <x:v>Moyenne</x:v>
      </x:c>
      <x:c r="N6" s="59" t="str">
        <x:v>2026-07-10</x:v>
      </x:c>
    </x:row>
    <x:row r="7">
      <x:c r="A7" s="57" t="str">
        <x:v>Cozykleuren.nl</x:v>
      </x:c>
      <x:c r="B7" s="58" t="str">
        <x:v>https://cozykleuren.nl/</x:v>
      </x:c>
      <x:c r="C7" s="58" t="str">
        <x:v>Pays-Bas / néerlandais</x:v>
      </x:c>
      <x:c r="D7" s="58" t="str">
        <x:v>France sélectionnable; tarif à confirmer</x:v>
      </x:c>
      <x:c r="E7" s="58" t="str">
        <x:v>Livres cosy, marqueurs alcool, crayons et accessoires de protection.</x:v>
      </x:c>
      <x:c r="F7" s="58" t="str">
        <x:v>Coloriage pur</x:v>
      </x:c>
      <x:c r="G7" s="58" t="str">
        <x:v>N/D pour la France</x:v>
      </x:c>
      <x:c r="H7" s="58" t="str">
        <x:v>Équipe de quatre, entrepôt, société et TVA affichés.</x:v>
      </x:c>
      <x:c r="I7" s="58" t="str">
        <x:v>Arborescence aboutie, assortiment livres + consommables, hausse de panier.</x:v>
      </x:c>
      <x:c r="J7" s="58" t="str">
        <x:v>Pas de français, livraison France peu claire et ruptures visibles.</x:v>
      </x:c>
      <x:c r="K7" s="58" t="str">
        <x:v>Répliquer le modèle catalogue en version française avec stock fiable.</x:v>
      </x:c>
      <x:c r="L7" s="58" t="str">
        <x:v>https://cozykleuren.nl/pages/over-ons</x:v>
      </x:c>
      <x:c r="M7" s="58" t="str">
        <x:v>Moyenne</x:v>
      </x:c>
      <x:c r="N7" s="59" t="str">
        <x:v>2026-07-10</x:v>
      </x:c>
    </x:row>
    <x:row r="8">
      <x:c r="A8" s="57" t="str">
        <x:v>Bobbie Goods</x:v>
      </x:c>
      <x:c r="B8" s="58" t="str">
        <x:v>https://bobbiegoods.com/</x:v>
      </x:c>
      <x:c r="C8" s="58" t="str">
        <x:v>États-Unis / anglais</x:v>
      </x:c>
      <x:c r="D8" s="58" t="str">
        <x:v>Oui - international</x:v>
      </x:c>
      <x:c r="E8" s="58" t="str">
        <x:v>Livres premium et accessoires autour de personnages propriétaires.</x:v>
      </x:c>
      <x:c r="F8" s="58" t="str">
        <x:v>Pur cute/cozy coloring</x:v>
      </x:c>
      <x:c r="G8" s="58" t="str">
        <x:v>22 USD le livre observé</x:v>
      </x:c>
      <x:c r="H8" s="58" t="str">
        <x:v>Marque familiale depuis 2021; une référence à 584 avis, 98% positifs.</x:v>
      </x:c>
      <x:c r="I8" s="58" t="str">
        <x:v>Univers reconnaissable, rareté, papier épais et communauté forte.</x:v>
      </x:c>
      <x:c r="J8" s="58" t="str">
        <x:v>Frais, douane et délais internationaux; peu de pages par livre.</x:v>
      </x:c>
      <x:c r="K8" s="58" t="str">
        <x:v>Qualité comparable avec stock UE et prix livré inférieur.</x:v>
      </x:c>
      <x:c r="L8" s="58" t="str">
        <x:v>https://bobbiegoods.com/products/this-n-that-coloring-book</x:v>
      </x:c>
      <x:c r="M8" s="58" t="str">
        <x:v>Moyenne</x:v>
      </x:c>
      <x:c r="N8" s="59" t="str">
        <x:v>2026-07-10</x:v>
      </x:c>
    </x:row>
    <x:row r="9">
      <x:c r="A9" s="57" t="str">
        <x:v>Belly Bean Co.</x:v>
      </x:c>
      <x:c r="B9" s="58" t="str">
        <x:v>https://bellybeanco.com/</x:v>
      </x:c>
      <x:c r="C9" s="58" t="str">
        <x:v>Canada / anglais + éditions françaises</x:v>
      </x:c>
      <x:c r="D9" s="58" t="str">
        <x:v>Oui - international</x:v>
      </x:c>
      <x:c r="E9" s="58" t="str">
        <x:v>Livres physiques et PDF cute/cozy, éditions françaises et livres techniques.</x:v>
      </x:c>
      <x:c r="F9" s="58" t="str">
        <x:v>Pur cute/cozy coloring</x:v>
      </x:c>
      <x:c r="G9" s="58" t="str">
        <x:v>12-29 CAD; éditions françaises autour de 16 CAD</x:v>
      </x:c>
      <x:c r="H9" s="58" t="str">
        <x:v>Catalogue profond, collaboration éditoriale et présence sur cinq réseaux.</x:v>
      </x:c>
      <x:c r="I9" s="58" t="str">
        <x:v>Éditions françaises, papier premium, thèmes et formats variés.</x:v>
      </x:c>
      <x:c r="J9" s="58" t="str">
        <x:v>Expédition canadienne coûteuse et quelques affichages produit confus.</x:v>
      </x:c>
      <x:c r="K9" s="58" t="str">
        <x:v>Faire mieux sur le coût rendu, le stock UE et la clarté du catalogue.</x:v>
      </x:c>
      <x:c r="L9" s="58" t="str">
        <x:v>https://bellybeanco.com/</x:v>
      </x:c>
      <x:c r="M9" s="58" t="str">
        <x:v>Haute</x:v>
      </x:c>
      <x:c r="N9" s="59" t="str">
        <x:v>2026-07-10</x:v>
      </x:c>
    </x:row>
    <x:row r="10">
      <x:c r="A10" s="57" t="str">
        <x:v>Chloe &amp; Maisy Co.</x:v>
      </x:c>
      <x:c r="B10" s="58" t="str">
        <x:v>https://chloeandmaisy.com/</x:v>
      </x:c>
      <x:c r="C10" s="58" t="str">
        <x:v>États-Unis / anglais</x:v>
      </x:c>
      <x:c r="D10" s="58" t="str">
        <x:v>Oui - livraison mondiale annoncée</x:v>
      </x:c>
      <x:c r="E10" s="58" t="str">
        <x:v>Livres et PDF autour de deux personnages propriétaires, plus protège-pages.</x:v>
      </x:c>
      <x:c r="F10" s="58" t="str">
        <x:v>Pur cute/cozy coloring</x:v>
      </x:c>
      <x:c r="G10" s="58" t="str">
        <x:v>22,99 USD le livre; bundle autour de 62,99 USD</x:v>
      </x:c>
      <x:c r="H10" s="58" t="str">
        <x:v>Environ 120 avis visibles, galerie clients et vente exclusivement directe.</x:v>
      </x:c>
      <x:c r="I10" s="58" t="str">
        <x:v>Personnages propriétaires, papier premium et storytelling fort.</x:v>
      </x:c>
      <x:c r="J10" s="58" t="str">
        <x:v>Catalogue étroit, anglais et droits de douane potentiels.</x:v>
      </x:c>
      <x:c r="K10" s="58" t="str">
        <x:v>Créer un univers propriétaire francophone avec davantage de collections.</x:v>
      </x:c>
      <x:c r="L10" s="58" t="str">
        <x:v>https://chloeandmaisy.com/pages/faq</x:v>
      </x:c>
      <x:c r="M10" s="58" t="str">
        <x:v>Moyenne</x:v>
      </x:c>
      <x:c r="N10" s="59" t="str">
        <x:v>2026-07-10</x:v>
      </x:c>
    </x:row>
    <x:row r="11">
      <x:c r="A11" s="57" t="str">
        <x:v>Giggles &amp; Grace Books</x:v>
      </x:c>
      <x:c r="B11" s="58" t="str">
        <x:v>https://www.gigglesandgracebooks.com/</x:v>
      </x:c>
      <x:c r="C11" s="58" t="str">
        <x:v>États-Unis / anglais</x:v>
      </x:c>
      <x:c r="D11" s="58" t="str">
        <x:v>Oui - livraison mondiale annoncée</x:v>
      </x:c>
      <x:c r="E11" s="58" t="str">
        <x:v>25+ éditions revendiquées, livres physiques, PDF, personnalisation et B2B.</x:v>
      </x:c>
      <x:c r="F11" s="58" t="str">
        <x:v>Coloriage pur</x:v>
      </x:c>
      <x:c r="G11" s="58" t="str">
        <x:v>7,99-12,99 USD physique; 1,99-2,99 USD PDF</x:v>
      </x:c>
      <x:c r="H11" s="58" t="str">
        <x:v>Catalogue profond, portail wholesale et papier 120 g.</x:v>
      </x:c>
      <x:c r="I11" s="58" t="str">
        <x:v>Prix, profondeur, personnalisation et offre professionnelle.</x:v>
      </x:c>
      <x:c r="J11" s="58" t="str">
        <x:v>Quelques incohérences visibles dans les chiffres marketing et les avis.</x:v>
      </x:c>
      <x:c r="K11" s="58" t="str">
        <x:v>Combiner profondeur catalogue et preuves de confiance plus solides.</x:v>
      </x:c>
      <x:c r="L11" s="58" t="str">
        <x:v>https://www.gigglesandgracebooks.com/</x:v>
      </x:c>
      <x:c r="M11" s="58" t="str">
        <x:v>Moyenne</x:v>
      </x:c>
      <x:c r="N11" s="59" t="str">
        <x:v>2026-07-10</x:v>
      </x:c>
    </x:row>
    <x:row r="12">
      <x:c r="A12" s="57" t="str">
        <x:v>Amélie's Workshop</x:v>
      </x:c>
      <x:c r="B12" s="58" t="str">
        <x:v>https://ameliesworkshop.fr/en</x:v>
      </x:c>
      <x:c r="C12" s="58" t="str">
        <x:v>France / français-anglais</x:v>
      </x:c>
      <x:c r="D12" s="58" t="str">
        <x:v>Oui - expédition locale</x:v>
      </x:c>
      <x:c r="E12" s="58" t="str">
        <x:v>Livres kawaii/cozy sur le Japon, stickers, marque-pages et carnets.</x:v>
      </x:c>
      <x:c r="F12" s="58" t="str">
        <x:v>Proche - papeterie élargie</x:v>
      </x:c>
      <x:c r="G12" s="58" t="str">
        <x:v>9,95-18 EUR les livres observés</x:v>
      </x:c>
      <x:c r="H12" s="58" t="str">
        <x:v>Entreprise indépendante depuis 2017, expédition annoncée en 3-4 jours.</x:v>
      </x:c>
      <x:c r="I12" s="58" t="str">
        <x:v>Univers d'illustratrice, collections saisonnières et logistique locale.</x:v>
      </x:c>
      <x:c r="J12" s="58" t="str">
        <x:v>Le catalogue de papeterie dilue la spécialisation coloriage.</x:v>
      </x:c>
      <x:c r="K12" s="58" t="str">
        <x:v>Être plus profond sur le coloriage et structurer les thèmes en collections SEO.</x:v>
      </x:c>
      <x:c r="L12" s="58" t="str">
        <x:v>https://ameliesworkshop.fr/en</x:v>
      </x:c>
      <x:c r="M12" s="58" t="str">
        <x:v>Moyenne</x:v>
      </x:c>
      <x:c r="N12" s="59" t="str">
        <x:v>2026-07-10</x:v>
      </x:c>
    </x:row>
    <x:row r="13">
      <x:c r="A13" s="57" t="str">
        <x:v>Whimsy Tales</x:v>
      </x:c>
      <x:c r="B13" s="58" t="str">
        <x:v>https://whimsytales.com/</x:v>
      </x:c>
      <x:c r="C13" s="58" t="str">
        <x:v>Indonésie/Canada / anglais</x:v>
      </x:c>
      <x:c r="D13" s="58" t="str">
        <x:v>Numérique; pas de physique sur le site</x:v>
      </x:c>
      <x:c r="E13" s="58" t="str">
        <x:v>Références numériques kawaii/fantasy, blog SEO, échantillons et newsletter.</x:v>
      </x:c>
      <x:c r="F13" s="58" t="str">
        <x:v>Proche - numérique</x:v>
      </x:c>
      <x:c r="G13" s="58" t="str">
        <x:v>7-18 CAD sur les références observées</x:v>
      </x:c>
      <x:c r="H13" s="58" t="str">
        <x:v>Environ 19 références et narration de marque structurée.</x:v>
      </x:c>
      <x:c r="I13" s="58" t="str">
        <x:v>Illustrations originales, contenu organique et acquisition par échantillons.</x:v>
      </x:c>
      <x:c r="J13" s="58" t="str">
        <x:v>Aucun produit physique expédié depuis le domaine.</x:v>
      </x:c>
      <x:c r="K13" s="58" t="str">
        <x:v>Occuper le physique et les bundles tout en gardant une stratégie de contenu.</x:v>
      </x:c>
      <x:c r="L13" s="58" t="str">
        <x:v>https://whimsytales.com/policies/shipping-policy</x:v>
      </x:c>
      <x:c r="M13" s="58" t="str">
        <x:v>Faible</x:v>
      </x:c>
      <x:c r="N13" s="59" t="str">
        <x:v>2026-07-10</x:v>
      </x:c>
    </x:row>
    <x:row r="14">
      <x:c r="A14" s="57" t="str">
        <x:v>Bloom &amp; Bolt</x:v>
      </x:c>
      <x:c r="B14" s="58" t="str">
        <x:v>https://bloomandboltcoloring.com/</x:v>
      </x:c>
      <x:c r="C14" s="58" t="str">
        <x:v>États-Unis probable / anglais</x:v>
      </x:c>
      <x:c r="D14" s="58" t="str">
        <x:v>Oui - international au checkout</x:v>
      </x:c>
      <x:c r="E14" s="58" t="str">
        <x:v>Livres spiralés premium, PDF, bundles et pinces de maintien.</x:v>
      </x:c>
      <x:c r="F14" s="58" t="str">
        <x:v>Pur cozy coloring</x:v>
      </x:c>
      <x:c r="G14" s="58" t="str">
        <x:v>22,99-24,99 USD physique; 5 USD PDF</x:v>
      </x:c>
      <x:c r="H14" s="58" t="str">
        <x:v>Marque émergente, cinq livres physiques, six numériques et peu d'avis.</x:v>
      </x:c>
      <x:c r="I14" s="58" t="str">
        <x:v>Papier épais, reliure à plat, accessoires utiles et bundles.</x:v>
      </x:c>
      <x:c r="J14" s="58" t="str">
        <x:v>Prix livré élevé pour la France et preuve sociale faible.</x:v>
      </x:c>
      <x:c r="K14" s="58" t="str">
        <x:v>Reprendre les bénéfices d'usage avec une livraison européenne.</x:v>
      </x:c>
      <x:c r="L14" s="58" t="str">
        <x:v>https://bloomandboltcoloring.com/pages/faq</x:v>
      </x:c>
      <x:c r="M14" s="58" t="str">
        <x:v>Faible</x:v>
      </x:c>
      <x:c r="N14" s="59" t="str">
        <x:v>2026-07-10</x:v>
      </x:c>
    </x:row>
    <x:row r="15">
      <x:c r="A15" s="57" t="str">
        <x:v>Ruth's Coloring</x:v>
      </x:c>
      <x:c r="B15" s="58" t="str">
        <x:v>https://ruthscoloring.com/</x:v>
      </x:c>
      <x:c r="C15" s="58" t="str">
        <x:v>États-Unis / anglais</x:v>
      </x:c>
      <x:c r="D15" s="58" t="str">
        <x:v>Numérique uniquement observé</x:v>
      </x:c>
      <x:c r="E15" s="58" t="str">
        <x:v>PDF quirky cute, animaux, cartes et scènes cosy aux lignes épaisses.</x:v>
      </x:c>
      <x:c r="F15" s="58" t="str">
        <x:v>Très proche - numérique</x:v>
      </x:c>
      <x:c r="G15" s="58" t="str">
        <x:v>3-8 USD le PDF</x:v>
      </x:c>
      <x:c r="H15" s="58" t="str">
        <x:v>Micro-marque d'illustratrice, catalogue profond et présence sociale.</x:v>
      </x:c>
      <x:c r="I15" s="58" t="str">
        <x:v>Identité d'artiste, marges du numérique, thèmes variés et freebies.</x:v>
      </x:c>
      <x:c r="J15" s="58" t="str">
        <x:v>Pas d'offre physique trouvée et univers moins homogène.</x:v>
      </x:c>
      <x:c r="K15" s="58" t="str">
        <x:v>Décliner les thèmes gagnants en livres et kits physiques français.</x:v>
      </x:c>
      <x:c r="L15" s="58" t="str">
        <x:v>https://ruthscoloring.com/collections/digital-downloads</x:v>
      </x:c>
      <x:c r="M15" s="58" t="str">
        <x:v>Faible</x:v>
      </x:c>
      <x:c r="N15" s="59" t="str">
        <x:v>2026-07-10</x:v>
      </x:c>
    </x:row>
    <x:row r="16">
      <x:c r="A16" s="57" t="str">
        <x:v>Berrie Coloring</x:v>
      </x:c>
      <x:c r="B16" s="58" t="str">
        <x:v>https://berriecoloring.com/</x:v>
      </x:c>
      <x:c r="C16" s="58" t="str">
        <x:v>Pays non affiché / anglais</x:v>
      </x:c>
      <x:c r="D16" s="58" t="str">
        <x:v>Numérique oui; physique non confirmé</x:v>
      </x:c>
      <x:c r="E16" s="58" t="str">
        <x:v>Séries cute &amp; cozy, saisons, voyage, fantasy et calendrier.</x:v>
      </x:c>
      <x:c r="F16" s="58" t="str">
        <x:v>Pur cute/cozy</x:v>
      </x:c>
      <x:c r="G16" s="58" t="str">
        <x:v>9,99 USD sur les séries observées</x:v>
      </x:c>
      <x:c r="H16" s="58" t="str">
        <x:v>Catalogue structuré en 16 produits; plusieurs physiques épuisés.</x:v>
      </x:c>
      <x:c r="I16" s="58" t="str">
        <x:v>Système de collections répétable et identité reconnaissable.</x:v>
      </x:c>
      <x:c r="J16" s="58" t="str">
        <x:v>Stock physique faible et livraison peu transparente.</x:v>
      </x:c>
      <x:c r="K16" s="58" t="str">
        <x:v>Stock européen fiable et bundles avec feutres.</x:v>
      </x:c>
      <x:c r="L16" s="58" t="str">
        <x:v>https://berriecoloring.com/collections/all</x:v>
      </x:c>
      <x:c r="M16" s="58" t="str">
        <x:v>Faible</x:v>
      </x:c>
      <x:c r="N16" s="59" t="str">
        <x:v>2026-07-10</x:v>
      </x:c>
    </x:row>
    <x:row r="17">
      <x:c r="A17" s="60" t="str">
        <x:v>Kawaii Sprouts</x:v>
      </x:c>
      <x:c r="B17" s="61" t="str">
        <x:v>https://www.kawaiisprouts.com/</x:v>
      </x:c>
      <x:c r="C17" s="61" t="str">
        <x:v>Pays non affiché / anglais</x:v>
      </x:c>
      <x:c r="D17" s="61" t="str">
        <x:v>Expédition mondiale annoncée</x:v>
      </x:c>
      <x:c r="E17" s="61" t="str">
        <x:v>Personnages originaux, livre principal et petits packs numériques.</x:v>
      </x:c>
      <x:c r="F17" s="61" t="str">
        <x:v>Kawaii pur</x:v>
      </x:c>
      <x:c r="G17" s="61" t="str">
        <x:v>2,99-5,99 USD sur les petits packs</x:v>
      </x:c>
      <x:c r="H17" s="61" t="str">
        <x:v>Très petite marque, catalogue court et peu de signaux de vente.</x:v>
      </x:c>
      <x:c r="I17" s="61" t="str">
        <x:v>Personnages propriétaires et prix d'entrée faible.</x:v>
      </x:c>
      <x:c r="J17" s="61" t="str">
        <x:v>Offre physique/PDF parfois ambiguë et expérience encore artisanale.</x:v>
      </x:c>
      <x:c r="K17" s="61" t="str">
        <x:v>Plus de transparence, fiches françaises et marque plus professionnelle.</x:v>
      </x:c>
      <x:c r="L17" s="61" t="str">
        <x:v>https://www.kawaiisprouts.com/products/kawaii-sprout-50-page-coloring-book</x:v>
      </x:c>
      <x:c r="M17" s="61" t="str">
        <x:v>Faible</x:v>
      </x:c>
      <x:c r="N17" s="62" t="str">
        <x:v>2026-07-10</x:v>
      </x:c>
    </x:row>
    <x:row r="18">
      <x:c r="A18" s="58"/>
      <x:c r="B18" s="58"/>
      <x:c r="C18" s="58"/>
      <x:c r="D18" s="58"/>
      <x:c r="E18" s="58"/>
      <x:c r="F18" s="58"/>
      <x:c r="G18" s="58"/>
      <x:c r="H18" s="58"/>
      <x:c r="I18" s="58"/>
      <x:c r="J18" s="58"/>
      <x:c r="K18" s="58"/>
      <x:c r="L18" s="58"/>
      <x:c r="M18" s="58"/>
      <x:c r="N18" s="58"/>
    </x:row>
    <x:row r="19">
      <x:c r="A19" s="58"/>
      <x:c r="B19" s="58"/>
      <x:c r="C19" s="58"/>
      <x:c r="D19" s="58"/>
      <x:c r="E19" s="58"/>
      <x:c r="F19" s="58"/>
      <x:c r="G19" s="58"/>
      <x:c r="H19" s="58"/>
      <x:c r="I19" s="58"/>
      <x:c r="J19" s="58"/>
      <x:c r="K19" s="58"/>
      <x:c r="L19" s="58"/>
      <x:c r="M19" s="58"/>
      <x:c r="N19" s="58"/>
    </x:row>
    <x:row r="20">
      <x:c r="A20" s="142" t="str">
        <x:v>Faux positifs exclus</x:v>
      </x:c>
      <x:c r="B20" s="142" t="str">
        <x:v>Faux positifs exclus</x:v>
      </x:c>
      <x:c r="C20" s="142" t="str">
        <x:v>Faux positifs exclus</x:v>
      </x:c>
      <x:c r="D20" s="142" t="str">
        <x:v>Faux positifs exclus</x:v>
      </x:c>
      <x:c r="E20" s="142" t="str">
        <x:v>Faux positifs exclus</x:v>
      </x:c>
      <x:c r="F20" s="142" t="str">
        <x:v>Faux positifs exclus</x:v>
      </x:c>
      <x:c r="G20" s="142" t="str">
        <x:v>Faux positifs exclus</x:v>
      </x:c>
      <x:c r="H20" s="142" t="str">
        <x:v>Faux positifs exclus</x:v>
      </x:c>
      <x:c r="I20" s="142" t="str">
        <x:v>Faux positifs exclus</x:v>
      </x:c>
      <x:c r="J20" s="142" t="str">
        <x:v>Faux positifs exclus</x:v>
      </x:c>
      <x:c r="K20" s="142" t="str">
        <x:v>Faux positifs exclus</x:v>
      </x:c>
      <x:c r="L20" s="142" t="str">
        <x:v>Faux positifs exclus</x:v>
      </x:c>
      <x:c r="M20" s="142" t="str">
        <x:v>Faux positifs exclus</x:v>
      </x:c>
      <x:c r="N20" s="142" t="str">
        <x:v>Faux positifs exclus</x:v>
      </x:c>
    </x:row>
    <x:row r="21">
      <x:c r="A21" s="135" t="str">
        <x:v>Site</x:v>
      </x:c>
      <x:c r="B21" s="136" t="str">
        <x:v>URL</x:v>
      </x:c>
      <x:c r="C21" s="137" t="str">
        <x:v>Motif d'exclusion</x:v>
      </x:c>
      <x:c r="D21" s="58"/>
      <x:c r="E21" s="58"/>
      <x:c r="F21" s="58"/>
      <x:c r="G21" s="58"/>
      <x:c r="H21" s="58"/>
      <x:c r="I21" s="58"/>
      <x:c r="J21" s="58"/>
      <x:c r="K21" s="58"/>
      <x:c r="L21" s="58"/>
      <x:c r="M21" s="58"/>
      <x:c r="N21" s="58"/>
    </x:row>
    <x:row r="22">
      <x:c r="A22" s="54" t="str">
        <x:v>Coco Wyo</x:v>
      </x:c>
      <x:c r="B22" s="55" t="str">
        <x:v>https://cocowyo.com/pages/faq</x:v>
      </x:c>
      <x:c r="C22" s="56" t="str">
        <x:v>Le site officiel renvoie vers Amazon, Etsy ou TikTok Shop; pas de boutique DTC comparable.</x:v>
      </x:c>
      <x:c r="D22" s="58"/>
      <x:c r="E22" s="58"/>
      <x:c r="F22" s="58"/>
      <x:c r="G22" s="58"/>
      <x:c r="H22" s="58"/>
      <x:c r="I22" s="58"/>
      <x:c r="J22" s="58"/>
      <x:c r="K22" s="58"/>
      <x:c r="L22" s="58"/>
      <x:c r="M22" s="58"/>
      <x:c r="N22" s="58"/>
    </x:row>
    <x:row r="23">
      <x:c r="A23" s="57" t="str">
        <x:v>Didi Plums</x:v>
      </x:c>
      <x:c r="B23" s="58" t="str">
        <x:v>https://www.didiplums.com/paperbacks/cozy-worlds</x:v>
      </x:c>
      <x:c r="C23" s="59" t="str">
        <x:v>Les fiches observées renvoient vers Amazon pour l'achat.</x:v>
      </x:c>
      <x:c r="D23" s="58"/>
      <x:c r="E23" s="58"/>
      <x:c r="F23" s="58"/>
      <x:c r="G23" s="58"/>
      <x:c r="H23" s="58"/>
      <x:c r="I23" s="58"/>
      <x:c r="J23" s="58"/>
      <x:c r="K23" s="58"/>
      <x:c r="L23" s="58"/>
      <x:c r="M23" s="58"/>
      <x:c r="N23" s="58"/>
    </x:row>
    <x:row r="24">
      <x:c r="A24" s="57" t="str">
        <x:v>Colored Caramel</x:v>
      </x:c>
      <x:c r="B24" s="58" t="str">
        <x:v>https://www.coloredcaramel.com/about/</x:v>
      </x:c>
      <x:c r="C24" s="59" t="str">
        <x:v>Catalogue servant de passerelle vers des marketplaces.</x:v>
      </x:c>
      <x:c r="D24" s="58"/>
      <x:c r="E24" s="58"/>
      <x:c r="F24" s="58"/>
      <x:c r="G24" s="58"/>
      <x:c r="H24" s="58"/>
      <x:c r="I24" s="58"/>
      <x:c r="J24" s="58"/>
      <x:c r="K24" s="58"/>
      <x:c r="L24" s="58"/>
      <x:c r="M24" s="58"/>
      <x:c r="N24" s="58"/>
    </x:row>
    <x:row r="25">
      <x:c r="A25" s="57" t="str">
        <x:v>Kiki Coloring Studio</x:v>
      </x:c>
      <x:c r="B25" s="58" t="str">
        <x:v>https://www.kikicoloringstudio.nl/</x:v>
      </x:c>
      <x:c r="C25" s="59" t="str">
        <x:v>Micro-boutique pertinente mais vente directe limitée aux Pays-Bas.</x:v>
      </x:c>
      <x:c r="D25" s="58"/>
      <x:c r="E25" s="58"/>
      <x:c r="F25" s="58"/>
      <x:c r="G25" s="58"/>
      <x:c r="H25" s="58"/>
      <x:c r="I25" s="58"/>
      <x:c r="J25" s="58"/>
      <x:c r="K25" s="58"/>
      <x:c r="L25" s="58"/>
      <x:c r="M25" s="58"/>
      <x:c r="N25" s="58"/>
    </x:row>
    <x:row r="26">
      <x:c r="A26" s="57" t="str">
        <x:v>The Blue Lemon Studio</x:v>
      </x:c>
      <x:c r="B26" s="58" t="str">
        <x:v>https://www.thebluelemonstudio.com/</x:v>
      </x:c>
      <x:c r="C26" s="59" t="str">
        <x:v>Achat via Amazon et univers davantage architectural que kawaii.</x:v>
      </x:c>
      <x:c r="D26" s="58"/>
      <x:c r="E26" s="58"/>
      <x:c r="F26" s="58"/>
      <x:c r="G26" s="58"/>
      <x:c r="H26" s="58"/>
      <x:c r="I26" s="58"/>
      <x:c r="J26" s="58"/>
      <x:c r="K26" s="58"/>
      <x:c r="L26" s="58"/>
      <x:c r="M26" s="58"/>
      <x:c r="N26" s="58"/>
    </x:row>
    <x:row r="27">
      <x:c r="A27" s="57" t="str">
        <x:v>Aiko Miku</x:v>
      </x:c>
      <x:c r="B27" s="58" t="str">
        <x:v>https://aikomiku.de/</x:v>
      </x:c>
      <x:c r="C27" s="59" t="str">
        <x:v>Créatrice kawaii/chibi mais ventes identifiées via Amazon.</x:v>
      </x:c>
      <x:c r="D27" s="58"/>
      <x:c r="E27" s="58"/>
      <x:c r="F27" s="58"/>
      <x:c r="G27" s="58"/>
      <x:c r="H27" s="58"/>
      <x:c r="I27" s="58"/>
      <x:c r="J27" s="58"/>
      <x:c r="K27" s="58"/>
      <x:c r="L27" s="58"/>
      <x:c r="M27" s="58"/>
      <x:c r="N27" s="58"/>
    </x:row>
    <x:row r="28">
      <x:c r="A28" s="57" t="str">
        <x:v>OMY</x:v>
      </x:c>
      <x:c r="B28" s="58" t="str">
        <x:v>https://omy-maison.com/</x:v>
      </x:c>
      <x:c r="C28" s="59" t="str">
        <x:v>Marque de loisirs créatifs trop généraliste pour le périmètre mini-marque spécialisée.</x:v>
      </x:c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</x:row>
    <x:row r="29">
      <x:c r="A29" s="57" t="str">
        <x:v>Vivi Tinta</x:v>
      </x:c>
      <x:c r="B29" s="58" t="str">
        <x:v>https://www.vivitinta.com/pages/fqas</x:v>
      </x:c>
      <x:c r="C29" s="59" t="str">
        <x:v>Le site officiel indique que les achats passent par Amazon.</x:v>
      </x:c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  <x:c r="N29" s="58"/>
    </x:row>
    <x:row r="30">
      <x:c r="A30" s="57" t="str">
        <x:v>Willa Grimshaw</x:v>
      </x:c>
      <x:c r="B30" s="58" t="str">
        <x:v>https://willagrimshaw.com/</x:v>
      </x:c>
      <x:c r="C30" s="59" t="str">
        <x:v>Site vitrine conduisant vers Amazon ou Etsy.</x:v>
      </x:c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  <x:c r="N30" s="58"/>
    </x:row>
    <x:row r="31">
      <x:c r="A31" s="57" t="str">
        <x:v>Selifu</x:v>
      </x:c>
      <x:c r="B31" s="58" t="str">
        <x:v>https://selifu.com/</x:v>
      </x:c>
      <x:c r="C31" s="59" t="str">
        <x:v>Site vitrine conduisant vers Amazon ou Etsy.</x:v>
      </x:c>
      <x:c r="D31" s="58"/>
      <x:c r="E31" s="58"/>
      <x:c r="F31" s="58"/>
      <x:c r="G31" s="58"/>
      <x:c r="H31" s="58"/>
      <x:c r="I31" s="58"/>
      <x:c r="J31" s="58"/>
      <x:c r="K31" s="58"/>
      <x:c r="L31" s="58"/>
      <x:c r="M31" s="58"/>
      <x:c r="N31" s="58"/>
    </x:row>
    <x:row r="32">
      <x:c r="A32" s="60" t="str">
        <x:v>Southern Lotus</x:v>
      </x:c>
      <x:c r="B32" s="61" t="str">
        <x:v>https://www.southernlotus.com/en/shipping-policy</x:v>
      </x:c>
      <x:c r="C32" s="62" t="str">
        <x:v>Boutique directe pertinente mais livraison France non confirmée.</x:v>
      </x:c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</x:row>
  </x:sheetData>
  <x:mergeCells>
    <x:mergeCell ref="A1:N1"/>
    <x:mergeCell ref="A2:N2"/>
    <x:mergeCell ref="A20:N20"/>
  </x:mergeCells>
  <x:dataValidations count="1">
    <x:dataValidation type="list" sqref="M4:M17">
      <x:formula1>"Haute,Moyenne,Faible"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48" hidden="0" customWidth="1"/>
    <x:col min="4" max="4" width="7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2" hidden="0" customWidth="1"/>
    <x:col min="11" max="11" width="12" hidden="0" customWidth="1"/>
    <x:col min="12" max="12" width="28" hidden="0" customWidth="1"/>
    <x:col min="13" max="13" width="20" hidden="0" customWidth="1"/>
    <x:col min="14" max="14" width="20" hidden="0" customWidth="1"/>
    <x:col min="15" max="15" width="36" hidden="0" customWidth="1"/>
    <x:col min="16" max="16" width="36" hidden="0" customWidth="1"/>
    <x:col min="17" max="17" width="58" hidden="0" customWidth="1"/>
    <x:col min="18" max="18" width="14" hidden="0" customWidth="1"/>
    <x:col min="19" max="19" width="18" hidden="0" customWidth="1"/>
    <x:col min="20" max="20" width="48" hidden="0" customWidth="1"/>
  </x:cols>
  <x:sheetData>
    <x:row r="1" ht="34" customHeight="1">
      <x:c r="A1" s="133" t="str">
        <x:v>Sourcing AliExpress - 5 produits à vérifier par collection</x:v>
      </x:c>
      <x:c r="B1" s="133" t="str">
        <x:v>Sourcing AliExpress - 5 produits à vérifier par collection</x:v>
      </x:c>
      <x:c r="C1" s="133" t="str">
        <x:v>Sourcing AliExpress - 5 produits à vérifier par collection</x:v>
      </x:c>
      <x:c r="D1" s="133" t="str">
        <x:v>Sourcing AliExpress - 5 produits à vérifier par collection</x:v>
      </x:c>
      <x:c r="E1" s="133" t="str">
        <x:v>Sourcing AliExpress - 5 produits à vérifier par collection</x:v>
      </x:c>
      <x:c r="F1" s="133" t="str">
        <x:v>Sourcing AliExpress - 5 produits à vérifier par collection</x:v>
      </x:c>
      <x:c r="G1" s="133" t="str">
        <x:v>Sourcing AliExpress - 5 produits à vérifier par collection</x:v>
      </x:c>
      <x:c r="H1" s="133" t="str">
        <x:v>Sourcing AliExpress - 5 produits à vérifier par collection</x:v>
      </x:c>
      <x:c r="I1" s="133" t="str">
        <x:v>Sourcing AliExpress - 5 produits à vérifier par collection</x:v>
      </x:c>
      <x:c r="J1" s="133" t="str">
        <x:v>Sourcing AliExpress - 5 produits à vérifier par collection</x:v>
      </x:c>
      <x:c r="K1" s="133" t="str">
        <x:v>Sourcing AliExpress - 5 produits à vérifier par collection</x:v>
      </x:c>
      <x:c r="L1" s="133" t="str">
        <x:v>Sourcing AliExpress - 5 produits à vérifier par collection</x:v>
      </x:c>
      <x:c r="M1" s="133" t="str">
        <x:v>Sourcing AliExpress - 5 produits à vérifier par collection</x:v>
      </x:c>
      <x:c r="N1" s="133" t="str">
        <x:v>Sourcing AliExpress - 5 produits à vérifier par collection</x:v>
      </x:c>
      <x:c r="O1" s="133" t="str">
        <x:v>Sourcing AliExpress - 5 produits à vérifier par collection</x:v>
      </x:c>
      <x:c r="P1" s="133" t="str">
        <x:v>Sourcing AliExpress - 5 produits à vérifier par collection</x:v>
      </x:c>
      <x:c r="Q1" s="133" t="str">
        <x:v>Sourcing AliExpress - 5 produits à vérifier par collection</x:v>
      </x:c>
      <x:c r="R1" s="133" t="str">
        <x:v>Sourcing AliExpress - 5 produits à vérifier par collection</x:v>
      </x:c>
      <x:c r="S1" s="133" t="str">
        <x:v>Sourcing AliExpress - 5 produits à vérifier par collection</x:v>
      </x:c>
      <x:c r="T1" s="133" t="str">
        <x:v>Sourcing AliExpress - 5 produits à vérifier par collection</x:v>
      </x:c>
    </x:row>
    <x:row r="2">
      <x:c r="A2" s="146" t="str">
        <x:v>75 emplacements préparés. Les URL et métriques restent vides tant qu'elles ne proviennent pas d'un export AliExpress/DSers ou d'une liste de liens vérifiable.</x:v>
      </x:c>
      <x:c r="B2" s="146" t="str">
        <x:v>75 emplacements préparés. Les URL et métriques restent vides tant qu'elles ne proviennent pas d'un export AliExpress/DSers ou d'une liste de liens vérifiable.</x:v>
      </x:c>
      <x:c r="C2" s="146" t="str">
        <x:v>75 emplacements préparés. Les URL et métriques restent vides tant qu'elles ne proviennent pas d'un export AliExpress/DSers ou d'une liste de liens vérifiable.</x:v>
      </x:c>
      <x:c r="D2" s="146" t="str">
        <x:v>75 emplacements préparés. Les URL et métriques restent vides tant qu'elles ne proviennent pas d'un export AliExpress/DSers ou d'une liste de liens vérifiable.</x:v>
      </x:c>
      <x:c r="E2" s="146" t="str">
        <x:v>75 emplacements préparés. Les URL et métriques restent vides tant qu'elles ne proviennent pas d'un export AliExpress/DSers ou d'une liste de liens vérifiable.</x:v>
      </x:c>
      <x:c r="F2" s="146" t="str">
        <x:v>75 emplacements préparés. Les URL et métriques restent vides tant qu'elles ne proviennent pas d'un export AliExpress/DSers ou d'une liste de liens vérifiable.</x:v>
      </x:c>
      <x:c r="G2" s="146" t="str">
        <x:v>75 emplacements préparés. Les URL et métriques restent vides tant qu'elles ne proviennent pas d'un export AliExpress/DSers ou d'une liste de liens vérifiable.</x:v>
      </x:c>
      <x:c r="H2" s="146" t="str">
        <x:v>75 emplacements préparés. Les URL et métriques restent vides tant qu'elles ne proviennent pas d'un export AliExpress/DSers ou d'une liste de liens vérifiable.</x:v>
      </x:c>
      <x:c r="I2" s="146" t="str">
        <x:v>75 emplacements préparés. Les URL et métriques restent vides tant qu'elles ne proviennent pas d'un export AliExpress/DSers ou d'une liste de liens vérifiable.</x:v>
      </x:c>
      <x:c r="J2" s="146" t="str">
        <x:v>75 emplacements préparés. Les URL et métriques restent vides tant qu'elles ne proviennent pas d'un export AliExpress/DSers ou d'une liste de liens vérifiable.</x:v>
      </x:c>
      <x:c r="K2" s="146" t="str">
        <x:v>75 emplacements préparés. Les URL et métriques restent vides tant qu'elles ne proviennent pas d'un export AliExpress/DSers ou d'une liste de liens vérifiable.</x:v>
      </x:c>
      <x:c r="L2" s="146" t="str">
        <x:v>75 emplacements préparés. Les URL et métriques restent vides tant qu'elles ne proviennent pas d'un export AliExpress/DSers ou d'une liste de liens vérifiable.</x:v>
      </x:c>
      <x:c r="M2" s="146" t="str">
        <x:v>75 emplacements préparés. Les URL et métriques restent vides tant qu'elles ne proviennent pas d'un export AliExpress/DSers ou d'une liste de liens vérifiable.</x:v>
      </x:c>
      <x:c r="N2" s="146" t="str">
        <x:v>75 emplacements préparés. Les URL et métriques restent vides tant qu'elles ne proviennent pas d'un export AliExpress/DSers ou d'une liste de liens vérifiable.</x:v>
      </x:c>
      <x:c r="O2" s="146" t="str">
        <x:v>75 emplacements préparés. Les URL et métriques restent vides tant qu'elles ne proviennent pas d'un export AliExpress/DSers ou d'une liste de liens vérifiable.</x:v>
      </x:c>
      <x:c r="P2" s="146" t="str">
        <x:v>75 emplacements préparés. Les URL et métriques restent vides tant qu'elles ne proviennent pas d'un export AliExpress/DSers ou d'une liste de liens vérifiable.</x:v>
      </x:c>
      <x:c r="Q2" s="146" t="str">
        <x:v>75 emplacements préparés. Les URL et métriques restent vides tant qu'elles ne proviennent pas d'un export AliExpress/DSers ou d'une liste de liens vérifiable.</x:v>
      </x:c>
      <x:c r="R2" s="146" t="str">
        <x:v>75 emplacements préparés. Les URL et métriques restent vides tant qu'elles ne proviennent pas d'un export AliExpress/DSers ou d'une liste de liens vérifiable.</x:v>
      </x:c>
      <x:c r="S2" s="146" t="str">
        <x:v>75 emplacements préparés. Les URL et métriques restent vides tant qu'elles ne proviennent pas d'un export AliExpress/DSers ou d'une liste de liens vérifiable.</x:v>
      </x:c>
      <x:c r="T2" s="146" t="str">
        <x:v>75 emplacements préparés. Les URL et métriques restent vides tant qu'elles ne proviennent pas d'un export AliExpress/DSers ou d'une liste de liens vérifiable.</x:v>
      </x:c>
    </x:row>
    <x:row r="3">
      <x:c r="A3" s="135" t="str">
        <x:v>ID</x:v>
      </x:c>
      <x:c r="B3" s="136" t="str">
        <x:v>Collection</x:v>
      </x:c>
      <x:c r="C3" s="136" t="str">
        <x:v>Produit</x:v>
      </x:c>
      <x:c r="D3" s="136" t="str">
        <x:v>URL AliExpress</x:v>
      </x:c>
      <x:c r="E3" s="136" t="str">
        <x:v>Prix produit EUR</x:v>
      </x:c>
      <x:c r="F3" s="136" t="str">
        <x:v>Livraison EUR</x:v>
      </x:c>
      <x:c r="G3" s="136" t="str">
        <x:v>Coût rendu EUR</x:v>
      </x:c>
      <x:c r="H3" s="136" t="str">
        <x:v>Prix cible EUR</x:v>
      </x:c>
      <x:c r="I3" s="136" t="str">
        <x:v>Marge x</x:v>
      </x:c>
      <x:c r="J3" s="136" t="str">
        <x:v>Note</x:v>
      </x:c>
      <x:c r="K3" s="136" t="str">
        <x:v>Commandes</x:v>
      </x:c>
      <x:c r="L3" s="136" t="str">
        <x:v>Boutique</x:v>
      </x:c>
      <x:c r="M3" s="136" t="str">
        <x:v>Délai France</x:v>
      </x:c>
      <x:c r="N3" s="136" t="str">
        <x:v>Choice / UE</x:v>
      </x:c>
      <x:c r="O3" s="136" t="str">
        <x:v>Variantes / lot</x:v>
      </x:c>
      <x:c r="P3" s="136" t="str">
        <x:v>Angle commercial</x:v>
      </x:c>
      <x:c r="Q3" s="136" t="str">
        <x:v>Risques / contrôles</x:v>
      </x:c>
      <x:c r="R3" s="136" t="str">
        <x:v>Verdict</x:v>
      </x:c>
      <x:c r="S3" s="136" t="str">
        <x:v>Date vérification</x:v>
      </x:c>
      <x:c r="T3" s="137" t="str">
        <x:v>Statut / source</x:v>
      </x:c>
    </x:row>
    <x:row r="4">
      <x:c r="A4" s="54" t="str">
        <x:v>coloriage-kawaii-1</x:v>
      </x:c>
      <x:c r="B4" s="55" t="str">
        <x:v>coloriage kawaii</x:v>
      </x:c>
      <x:c r="C4" s="55" t="str"/>
      <x:c r="D4" s="55" t="str"/>
      <x:c r="E4" s="92" t="str"/>
      <x:c r="F4" s="92" t="str"/>
      <x:c r="G4" s="92" t="str">
        <x:f>IF(OR(E4="",F4=""),"",E4+F4)</x:f>
      </x:c>
      <x:c r="H4" s="92" t="n">
        <x:f>IFERROR(VLOOKUP(B4,'Collections'!$C$4:$L$18,10,FALSE),"")</x:f>
        <x:v>24.9</x:v>
      </x:c>
      <x:c r="I4" s="100" t="str">
        <x:f>IFERROR(H4/G4,"")</x:f>
      </x:c>
      <x:c r="J4" s="106" t="str"/>
      <x:c r="K4" s="78" t="str"/>
      <x:c r="L4" s="55" t="str"/>
      <x:c r="M4" s="55" t="str"/>
      <x:c r="N4" s="55" t="str"/>
      <x:c r="O4" s="55" t="str"/>
      <x:c r="P4" s="55" t="str"/>
      <x:c r="Q4" s="55" t="str">
        <x:v>Contrôler droits des visuels, qualité réelle, emballage, délais et cohérence des variantes.</x:v>
      </x:c>
      <x:c r="R4" s="55" t="str">
        <x:v>À vérifier</x:v>
      </x:c>
      <x:c r="S4" s="55" t="str"/>
      <x:c r="T4" s="56" t="str">
        <x:v>En attente d'un export AliExpress/DSers vérifiable</x:v>
      </x:c>
    </x:row>
    <x:row r="5">
      <x:c r="A5" s="57" t="str">
        <x:v>coloriage-kawaii-2</x:v>
      </x:c>
      <x:c r="B5" s="58" t="str">
        <x:v>coloriage kawaii</x:v>
      </x:c>
      <x:c r="C5" s="58" t="str"/>
      <x:c r="D5" s="58" t="str"/>
      <x:c r="E5" s="93" t="str"/>
      <x:c r="F5" s="93" t="str"/>
      <x:c r="G5" s="93" t="str">
        <x:f>IF(OR(E5="",F5=""),"",E5+F5)</x:f>
      </x:c>
      <x:c r="H5" s="93" t="n">
        <x:f>IFERROR(VLOOKUP(B5,'Collections'!$C$4:$L$18,10,FALSE),"")</x:f>
        <x:v>24.9</x:v>
      </x:c>
      <x:c r="I5" s="101" t="str">
        <x:f>IFERROR(H5/G5,"")</x:f>
      </x:c>
      <x:c r="J5" s="107" t="str"/>
      <x:c r="K5" s="79" t="str"/>
      <x:c r="L5" s="58" t="str"/>
      <x:c r="M5" s="58" t="str"/>
      <x:c r="N5" s="58" t="str"/>
      <x:c r="O5" s="58" t="str"/>
      <x:c r="P5" s="58" t="str"/>
      <x:c r="Q5" s="58" t="str">
        <x:v>Contrôler droits des visuels, qualité réelle, emballage, délais et cohérence des variantes.</x:v>
      </x:c>
      <x:c r="R5" s="58" t="str">
        <x:v>À vérifier</x:v>
      </x:c>
      <x:c r="S5" s="58" t="str"/>
      <x:c r="T5" s="59" t="str">
        <x:v>En attente d'un export AliExpress/DSers vérifiable</x:v>
      </x:c>
    </x:row>
    <x:row r="6">
      <x:c r="A6" s="57" t="str">
        <x:v>coloriage-kawaii-3</x:v>
      </x:c>
      <x:c r="B6" s="58" t="str">
        <x:v>coloriage kawaii</x:v>
      </x:c>
      <x:c r="C6" s="58" t="str"/>
      <x:c r="D6" s="58" t="str"/>
      <x:c r="E6" s="93" t="str"/>
      <x:c r="F6" s="93" t="str"/>
      <x:c r="G6" s="93" t="str">
        <x:f>IF(OR(E6="",F6=""),"",E6+F6)</x:f>
      </x:c>
      <x:c r="H6" s="93" t="n">
        <x:f>IFERROR(VLOOKUP(B6,'Collections'!$C$4:$L$18,10,FALSE),"")</x:f>
        <x:v>24.9</x:v>
      </x:c>
      <x:c r="I6" s="101" t="str">
        <x:f>IFERROR(H6/G6,"")</x:f>
      </x:c>
      <x:c r="J6" s="107" t="str"/>
      <x:c r="K6" s="79" t="str"/>
      <x:c r="L6" s="58" t="str"/>
      <x:c r="M6" s="58" t="str"/>
      <x:c r="N6" s="58" t="str"/>
      <x:c r="O6" s="58" t="str"/>
      <x:c r="P6" s="58" t="str"/>
      <x:c r="Q6" s="58" t="str">
        <x:v>Contrôler droits des visuels, qualité réelle, emballage, délais et cohérence des variantes.</x:v>
      </x:c>
      <x:c r="R6" s="58" t="str">
        <x:v>À vérifier</x:v>
      </x:c>
      <x:c r="S6" s="58" t="str"/>
      <x:c r="T6" s="59" t="str">
        <x:v>En attente d'un export AliExpress/DSers vérifiable</x:v>
      </x:c>
    </x:row>
    <x:row r="7">
      <x:c r="A7" s="57" t="str">
        <x:v>coloriage-kawaii-4</x:v>
      </x:c>
      <x:c r="B7" s="58" t="str">
        <x:v>coloriage kawaii</x:v>
      </x:c>
      <x:c r="C7" s="58" t="str"/>
      <x:c r="D7" s="58" t="str"/>
      <x:c r="E7" s="93" t="str"/>
      <x:c r="F7" s="93" t="str"/>
      <x:c r="G7" s="93" t="str">
        <x:f>IF(OR(E7="",F7=""),"",E7+F7)</x:f>
      </x:c>
      <x:c r="H7" s="93" t="n">
        <x:f>IFERROR(VLOOKUP(B7,'Collections'!$C$4:$L$18,10,FALSE),"")</x:f>
        <x:v>24.9</x:v>
      </x:c>
      <x:c r="I7" s="101" t="str">
        <x:f>IFERROR(H7/G7,"")</x:f>
      </x:c>
      <x:c r="J7" s="107" t="str"/>
      <x:c r="K7" s="79" t="str"/>
      <x:c r="L7" s="58" t="str"/>
      <x:c r="M7" s="58" t="str"/>
      <x:c r="N7" s="58" t="str"/>
      <x:c r="O7" s="58" t="str"/>
      <x:c r="P7" s="58" t="str"/>
      <x:c r="Q7" s="58" t="str">
        <x:v>Contrôler droits des visuels, qualité réelle, emballage, délais et cohérence des variantes.</x:v>
      </x:c>
      <x:c r="R7" s="58" t="str">
        <x:v>À vérifier</x:v>
      </x:c>
      <x:c r="S7" s="58" t="str"/>
      <x:c r="T7" s="59" t="str">
        <x:v>En attente d'un export AliExpress/DSers vérifiable</x:v>
      </x:c>
    </x:row>
    <x:row r="8">
      <x:c r="A8" s="57" t="str">
        <x:v>coloriage-kawaii-5</x:v>
      </x:c>
      <x:c r="B8" s="58" t="str">
        <x:v>coloriage kawaii</x:v>
      </x:c>
      <x:c r="C8" s="58" t="str"/>
      <x:c r="D8" s="58" t="str"/>
      <x:c r="E8" s="93" t="str"/>
      <x:c r="F8" s="93" t="str"/>
      <x:c r="G8" s="93" t="str">
        <x:f>IF(OR(E8="",F8=""),"",E8+F8)</x:f>
      </x:c>
      <x:c r="H8" s="93" t="n">
        <x:f>IFERROR(VLOOKUP(B8,'Collections'!$C$4:$L$18,10,FALSE),"")</x:f>
        <x:v>24.9</x:v>
      </x:c>
      <x:c r="I8" s="101" t="str">
        <x:f>IFERROR(H8/G8,"")</x:f>
      </x:c>
      <x:c r="J8" s="107" t="str"/>
      <x:c r="K8" s="79" t="str"/>
      <x:c r="L8" s="58" t="str"/>
      <x:c r="M8" s="58" t="str"/>
      <x:c r="N8" s="58" t="str"/>
      <x:c r="O8" s="58" t="str"/>
      <x:c r="P8" s="58" t="str"/>
      <x:c r="Q8" s="58" t="str">
        <x:v>Contrôler droits des visuels, qualité réelle, emballage, délais et cohérence des variantes.</x:v>
      </x:c>
      <x:c r="R8" s="58" t="str">
        <x:v>À vérifier</x:v>
      </x:c>
      <x:c r="S8" s="58" t="str"/>
      <x:c r="T8" s="59" t="str">
        <x:v>En attente d'un export AliExpress/DSers vérifiable</x:v>
      </x:c>
    </x:row>
    <x:row r="9">
      <x:c r="A9" s="57" t="str">
        <x:v>coloriage-adulte-1</x:v>
      </x:c>
      <x:c r="B9" s="58" t="str">
        <x:v>coloriage adulte</x:v>
      </x:c>
      <x:c r="C9" s="58" t="str"/>
      <x:c r="D9" s="58" t="str"/>
      <x:c r="E9" s="93" t="str"/>
      <x:c r="F9" s="93" t="str"/>
      <x:c r="G9" s="93" t="str">
        <x:f>IF(OR(E9="",F9=""),"",E9+F9)</x:f>
      </x:c>
      <x:c r="H9" s="93" t="n">
        <x:f>IFERROR(VLOOKUP(B9,'Collections'!$C$4:$L$18,10,FALSE),"")</x:f>
        <x:v>29.9</x:v>
      </x:c>
      <x:c r="I9" s="101" t="str">
        <x:f>IFERROR(H9/G9,"")</x:f>
      </x:c>
      <x:c r="J9" s="107" t="str"/>
      <x:c r="K9" s="79" t="str"/>
      <x:c r="L9" s="58" t="str"/>
      <x:c r="M9" s="58" t="str"/>
      <x:c r="N9" s="58" t="str"/>
      <x:c r="O9" s="58" t="str"/>
      <x:c r="P9" s="58" t="str"/>
      <x:c r="Q9" s="58" t="str">
        <x:v>Contrôler droits des visuels, qualité réelle, emballage, délais et cohérence des variantes.</x:v>
      </x:c>
      <x:c r="R9" s="58" t="str">
        <x:v>À vérifier</x:v>
      </x:c>
      <x:c r="S9" s="58" t="str"/>
      <x:c r="T9" s="59" t="str">
        <x:v>En attente d'un export AliExpress/DSers vérifiable</x:v>
      </x:c>
    </x:row>
    <x:row r="10">
      <x:c r="A10" s="57" t="str">
        <x:v>coloriage-adulte-2</x:v>
      </x:c>
      <x:c r="B10" s="58" t="str">
        <x:v>coloriage adulte</x:v>
      </x:c>
      <x:c r="C10" s="58" t="str"/>
      <x:c r="D10" s="58" t="str"/>
      <x:c r="E10" s="93" t="str"/>
      <x:c r="F10" s="93" t="str"/>
      <x:c r="G10" s="93" t="str">
        <x:f>IF(OR(E10="",F10=""),"",E10+F10)</x:f>
      </x:c>
      <x:c r="H10" s="93" t="n">
        <x:f>IFERROR(VLOOKUP(B10,'Collections'!$C$4:$L$18,10,FALSE),"")</x:f>
        <x:v>29.9</x:v>
      </x:c>
      <x:c r="I10" s="101" t="str">
        <x:f>IFERROR(H10/G10,"")</x:f>
      </x:c>
      <x:c r="J10" s="107" t="str"/>
      <x:c r="K10" s="79" t="str"/>
      <x:c r="L10" s="58" t="str"/>
      <x:c r="M10" s="58" t="str"/>
      <x:c r="N10" s="58" t="str"/>
      <x:c r="O10" s="58" t="str"/>
      <x:c r="P10" s="58" t="str"/>
      <x:c r="Q10" s="58" t="str">
        <x:v>Contrôler droits des visuels, qualité réelle, emballage, délais et cohérence des variantes.</x:v>
      </x:c>
      <x:c r="R10" s="58" t="str">
        <x:v>À vérifier</x:v>
      </x:c>
      <x:c r="S10" s="58" t="str"/>
      <x:c r="T10" s="59" t="str">
        <x:v>En attente d'un export AliExpress/DSers vérifiable</x:v>
      </x:c>
    </x:row>
    <x:row r="11">
      <x:c r="A11" s="57" t="str">
        <x:v>coloriage-adulte-3</x:v>
      </x:c>
      <x:c r="B11" s="58" t="str">
        <x:v>coloriage adulte</x:v>
      </x:c>
      <x:c r="C11" s="58" t="str"/>
      <x:c r="D11" s="58" t="str"/>
      <x:c r="E11" s="93" t="str"/>
      <x:c r="F11" s="93" t="str"/>
      <x:c r="G11" s="93" t="str">
        <x:f>IF(OR(E11="",F11=""),"",E11+F11)</x:f>
      </x:c>
      <x:c r="H11" s="93" t="n">
        <x:f>IFERROR(VLOOKUP(B11,'Collections'!$C$4:$L$18,10,FALSE),"")</x:f>
        <x:v>29.9</x:v>
      </x:c>
      <x:c r="I11" s="101" t="str">
        <x:f>IFERROR(H11/G11,"")</x:f>
      </x:c>
      <x:c r="J11" s="107" t="str"/>
      <x:c r="K11" s="79" t="str"/>
      <x:c r="L11" s="58" t="str"/>
      <x:c r="M11" s="58" t="str"/>
      <x:c r="N11" s="58" t="str"/>
      <x:c r="O11" s="58" t="str"/>
      <x:c r="P11" s="58" t="str"/>
      <x:c r="Q11" s="58" t="str">
        <x:v>Contrôler droits des visuels, qualité réelle, emballage, délais et cohérence des variantes.</x:v>
      </x:c>
      <x:c r="R11" s="58" t="str">
        <x:v>À vérifier</x:v>
      </x:c>
      <x:c r="S11" s="58" t="str"/>
      <x:c r="T11" s="59" t="str">
        <x:v>En attente d'un export AliExpress/DSers vérifiable</x:v>
      </x:c>
    </x:row>
    <x:row r="12">
      <x:c r="A12" s="57" t="str">
        <x:v>coloriage-adulte-4</x:v>
      </x:c>
      <x:c r="B12" s="58" t="str">
        <x:v>coloriage adulte</x:v>
      </x:c>
      <x:c r="C12" s="58" t="str"/>
      <x:c r="D12" s="58" t="str"/>
      <x:c r="E12" s="93" t="str"/>
      <x:c r="F12" s="93" t="str"/>
      <x:c r="G12" s="93" t="str">
        <x:f>IF(OR(E12="",F12=""),"",E12+F12)</x:f>
      </x:c>
      <x:c r="H12" s="93" t="n">
        <x:f>IFERROR(VLOOKUP(B12,'Collections'!$C$4:$L$18,10,FALSE),"")</x:f>
        <x:v>29.9</x:v>
      </x:c>
      <x:c r="I12" s="101" t="str">
        <x:f>IFERROR(H12/G12,"")</x:f>
      </x:c>
      <x:c r="J12" s="107" t="str"/>
      <x:c r="K12" s="79" t="str"/>
      <x:c r="L12" s="58" t="str"/>
      <x:c r="M12" s="58" t="str"/>
      <x:c r="N12" s="58" t="str"/>
      <x:c r="O12" s="58" t="str"/>
      <x:c r="P12" s="58" t="str"/>
      <x:c r="Q12" s="58" t="str">
        <x:v>Contrôler droits des visuels, qualité réelle, emballage, délais et cohérence des variantes.</x:v>
      </x:c>
      <x:c r="R12" s="58" t="str">
        <x:v>À vérifier</x:v>
      </x:c>
      <x:c r="S12" s="58" t="str"/>
      <x:c r="T12" s="59" t="str">
        <x:v>En attente d'un export AliExpress/DSers vérifiable</x:v>
      </x:c>
    </x:row>
    <x:row r="13">
      <x:c r="A13" s="57" t="str">
        <x:v>coloriage-adulte-5</x:v>
      </x:c>
      <x:c r="B13" s="58" t="str">
        <x:v>coloriage adulte</x:v>
      </x:c>
      <x:c r="C13" s="58" t="str"/>
      <x:c r="D13" s="58" t="str"/>
      <x:c r="E13" s="93" t="str"/>
      <x:c r="F13" s="93" t="str"/>
      <x:c r="G13" s="93" t="str">
        <x:f>IF(OR(E13="",F13=""),"",E13+F13)</x:f>
      </x:c>
      <x:c r="H13" s="93" t="n">
        <x:f>IFERROR(VLOOKUP(B13,'Collections'!$C$4:$L$18,10,FALSE),"")</x:f>
        <x:v>29.9</x:v>
      </x:c>
      <x:c r="I13" s="101" t="str">
        <x:f>IFERROR(H13/G13,"")</x:f>
      </x:c>
      <x:c r="J13" s="107" t="str"/>
      <x:c r="K13" s="79" t="str"/>
      <x:c r="L13" s="58" t="str"/>
      <x:c r="M13" s="58" t="str"/>
      <x:c r="N13" s="58" t="str"/>
      <x:c r="O13" s="58" t="str"/>
      <x:c r="P13" s="58" t="str"/>
      <x:c r="Q13" s="58" t="str">
        <x:v>Contrôler droits des visuels, qualité réelle, emballage, délais et cohérence des variantes.</x:v>
      </x:c>
      <x:c r="R13" s="58" t="str">
        <x:v>À vérifier</x:v>
      </x:c>
      <x:c r="S13" s="58" t="str"/>
      <x:c r="T13" s="59" t="str">
        <x:v>En attente d'un export AliExpress/DSers vérifiable</x:v>
      </x:c>
    </x:row>
    <x:row r="14">
      <x:c r="A14" s="57" t="str">
        <x:v>coloriage-magique-1</x:v>
      </x:c>
      <x:c r="B14" s="58" t="str">
        <x:v>coloriage magique</x:v>
      </x:c>
      <x:c r="C14" s="58" t="str"/>
      <x:c r="D14" s="58" t="str"/>
      <x:c r="E14" s="93" t="str"/>
      <x:c r="F14" s="93" t="str"/>
      <x:c r="G14" s="93" t="str">
        <x:f>IF(OR(E14="",F14=""),"",E14+F14)</x:f>
      </x:c>
      <x:c r="H14" s="93" t="n">
        <x:f>IFERROR(VLOOKUP(B14,'Collections'!$C$4:$L$18,10,FALSE),"")</x:f>
        <x:v>22.9</x:v>
      </x:c>
      <x:c r="I14" s="101" t="str">
        <x:f>IFERROR(H14/G14,"")</x:f>
      </x:c>
      <x:c r="J14" s="107" t="str"/>
      <x:c r="K14" s="79" t="str"/>
      <x:c r="L14" s="58" t="str"/>
      <x:c r="M14" s="58" t="str"/>
      <x:c r="N14" s="58" t="str"/>
      <x:c r="O14" s="58" t="str"/>
      <x:c r="P14" s="58" t="str"/>
      <x:c r="Q14" s="58" t="str">
        <x:v>Contrôler droits des visuels, qualité réelle, emballage, délais et cohérence des variantes.</x:v>
      </x:c>
      <x:c r="R14" s="58" t="str">
        <x:v>À vérifier</x:v>
      </x:c>
      <x:c r="S14" s="58" t="str"/>
      <x:c r="T14" s="59" t="str">
        <x:v>En attente d'un export AliExpress/DSers vérifiable</x:v>
      </x:c>
    </x:row>
    <x:row r="15">
      <x:c r="A15" s="57" t="str">
        <x:v>coloriage-magique-2</x:v>
      </x:c>
      <x:c r="B15" s="58" t="str">
        <x:v>coloriage magique</x:v>
      </x:c>
      <x:c r="C15" s="58" t="str"/>
      <x:c r="D15" s="58" t="str"/>
      <x:c r="E15" s="93" t="str"/>
      <x:c r="F15" s="93" t="str"/>
      <x:c r="G15" s="93" t="str">
        <x:f>IF(OR(E15="",F15=""),"",E15+F15)</x:f>
      </x:c>
      <x:c r="H15" s="93" t="n">
        <x:f>IFERROR(VLOOKUP(B15,'Collections'!$C$4:$L$18,10,FALSE),"")</x:f>
        <x:v>22.9</x:v>
      </x:c>
      <x:c r="I15" s="101" t="str">
        <x:f>IFERROR(H15/G15,"")</x:f>
      </x:c>
      <x:c r="J15" s="107" t="str"/>
      <x:c r="K15" s="79" t="str"/>
      <x:c r="L15" s="58" t="str"/>
      <x:c r="M15" s="58" t="str"/>
      <x:c r="N15" s="58" t="str"/>
      <x:c r="O15" s="58" t="str"/>
      <x:c r="P15" s="58" t="str"/>
      <x:c r="Q15" s="58" t="str">
        <x:v>Contrôler droits des visuels, qualité réelle, emballage, délais et cohérence des variantes.</x:v>
      </x:c>
      <x:c r="R15" s="58" t="str">
        <x:v>À vérifier</x:v>
      </x:c>
      <x:c r="S15" s="58" t="str"/>
      <x:c r="T15" s="59" t="str">
        <x:v>En attente d'un export AliExpress/DSers vérifiable</x:v>
      </x:c>
    </x:row>
    <x:row r="16">
      <x:c r="A16" s="57" t="str">
        <x:v>coloriage-magique-3</x:v>
      </x:c>
      <x:c r="B16" s="58" t="str">
        <x:v>coloriage magique</x:v>
      </x:c>
      <x:c r="C16" s="58" t="str"/>
      <x:c r="D16" s="58" t="str"/>
      <x:c r="E16" s="93" t="str"/>
      <x:c r="F16" s="93" t="str"/>
      <x:c r="G16" s="93" t="str">
        <x:f>IF(OR(E16="",F16=""),"",E16+F16)</x:f>
      </x:c>
      <x:c r="H16" s="93" t="n">
        <x:f>IFERROR(VLOOKUP(B16,'Collections'!$C$4:$L$18,10,FALSE),"")</x:f>
        <x:v>22.9</x:v>
      </x:c>
      <x:c r="I16" s="101" t="str">
        <x:f>IFERROR(H16/G16,"")</x:f>
      </x:c>
      <x:c r="J16" s="107" t="str"/>
      <x:c r="K16" s="79" t="str"/>
      <x:c r="L16" s="58" t="str"/>
      <x:c r="M16" s="58" t="str"/>
      <x:c r="N16" s="58" t="str"/>
      <x:c r="O16" s="58" t="str"/>
      <x:c r="P16" s="58" t="str"/>
      <x:c r="Q16" s="58" t="str">
        <x:v>Contrôler droits des visuels, qualité réelle, emballage, délais et cohérence des variantes.</x:v>
      </x:c>
      <x:c r="R16" s="58" t="str">
        <x:v>À vérifier</x:v>
      </x:c>
      <x:c r="S16" s="58" t="str"/>
      <x:c r="T16" s="59" t="str">
        <x:v>En attente d'un export AliExpress/DSers vérifiable</x:v>
      </x:c>
    </x:row>
    <x:row r="17">
      <x:c r="A17" s="57" t="str">
        <x:v>coloriage-magique-4</x:v>
      </x:c>
      <x:c r="B17" s="58" t="str">
        <x:v>coloriage magique</x:v>
      </x:c>
      <x:c r="C17" s="58" t="str"/>
      <x:c r="D17" s="58" t="str"/>
      <x:c r="E17" s="93" t="str"/>
      <x:c r="F17" s="93" t="str"/>
      <x:c r="G17" s="93" t="str">
        <x:f>IF(OR(E17="",F17=""),"",E17+F17)</x:f>
      </x:c>
      <x:c r="H17" s="93" t="n">
        <x:f>IFERROR(VLOOKUP(B17,'Collections'!$C$4:$L$18,10,FALSE),"")</x:f>
        <x:v>22.9</x:v>
      </x:c>
      <x:c r="I17" s="101" t="str">
        <x:f>IFERROR(H17/G17,"")</x:f>
      </x:c>
      <x:c r="J17" s="107" t="str"/>
      <x:c r="K17" s="79" t="str"/>
      <x:c r="L17" s="58" t="str"/>
      <x:c r="M17" s="58" t="str"/>
      <x:c r="N17" s="58" t="str"/>
      <x:c r="O17" s="58" t="str"/>
      <x:c r="P17" s="58" t="str"/>
      <x:c r="Q17" s="58" t="str">
        <x:v>Contrôler droits des visuels, qualité réelle, emballage, délais et cohérence des variantes.</x:v>
      </x:c>
      <x:c r="R17" s="58" t="str">
        <x:v>À vérifier</x:v>
      </x:c>
      <x:c r="S17" s="58" t="str"/>
      <x:c r="T17" s="59" t="str">
        <x:v>En attente d'un export AliExpress/DSers vérifiable</x:v>
      </x:c>
    </x:row>
    <x:row r="18">
      <x:c r="A18" s="57" t="str">
        <x:v>coloriage-magique-5</x:v>
      </x:c>
      <x:c r="B18" s="58" t="str">
        <x:v>coloriage magique</x:v>
      </x:c>
      <x:c r="C18" s="58" t="str"/>
      <x:c r="D18" s="58" t="str"/>
      <x:c r="E18" s="93" t="str"/>
      <x:c r="F18" s="93" t="str"/>
      <x:c r="G18" s="93" t="str">
        <x:f>IF(OR(E18="",F18=""),"",E18+F18)</x:f>
      </x:c>
      <x:c r="H18" s="93" t="n">
        <x:f>IFERROR(VLOOKUP(B18,'Collections'!$C$4:$L$18,10,FALSE),"")</x:f>
        <x:v>22.9</x:v>
      </x:c>
      <x:c r="I18" s="101" t="str">
        <x:f>IFERROR(H18/G18,"")</x:f>
      </x:c>
      <x:c r="J18" s="107" t="str"/>
      <x:c r="K18" s="79" t="str"/>
      <x:c r="L18" s="58" t="str"/>
      <x:c r="M18" s="58" t="str"/>
      <x:c r="N18" s="58" t="str"/>
      <x:c r="O18" s="58" t="str"/>
      <x:c r="P18" s="58" t="str"/>
      <x:c r="Q18" s="58" t="str">
        <x:v>Contrôler droits des visuels, qualité réelle, emballage, délais et cohérence des variantes.</x:v>
      </x:c>
      <x:c r="R18" s="58" t="str">
        <x:v>À vérifier</x:v>
      </x:c>
      <x:c r="S18" s="58" t="str"/>
      <x:c r="T18" s="59" t="str">
        <x:v>En attente d'un export AliExpress/DSers vérifiable</x:v>
      </x:c>
    </x:row>
    <x:row r="19">
      <x:c r="A19" s="57" t="str">
        <x:v>coloriage-mystere-1</x:v>
      </x:c>
      <x:c r="B19" s="58" t="str">
        <x:v>coloriage mystere</x:v>
      </x:c>
      <x:c r="C19" s="58" t="str"/>
      <x:c r="D19" s="58" t="str"/>
      <x:c r="E19" s="93" t="str"/>
      <x:c r="F19" s="93" t="str"/>
      <x:c r="G19" s="93" t="str">
        <x:f>IF(OR(E19="",F19=""),"",E19+F19)</x:f>
      </x:c>
      <x:c r="H19" s="93" t="n">
        <x:f>IFERROR(VLOOKUP(B19,'Collections'!$C$4:$L$18,10,FALSE),"")</x:f>
        <x:v>24.9</x:v>
      </x:c>
      <x:c r="I19" s="101" t="str">
        <x:f>IFERROR(H19/G19,"")</x:f>
      </x:c>
      <x:c r="J19" s="107" t="str"/>
      <x:c r="K19" s="79" t="str"/>
      <x:c r="L19" s="58" t="str"/>
      <x:c r="M19" s="58" t="str"/>
      <x:c r="N19" s="58" t="str"/>
      <x:c r="O19" s="58" t="str"/>
      <x:c r="P19" s="58" t="str"/>
      <x:c r="Q19" s="58" t="str">
        <x:v>Contrôler droits des visuels, qualité réelle, emballage, délais et cohérence des variantes.</x:v>
      </x:c>
      <x:c r="R19" s="58" t="str">
        <x:v>À vérifier</x:v>
      </x:c>
      <x:c r="S19" s="58" t="str"/>
      <x:c r="T19" s="59" t="str">
        <x:v>En attente d'un export AliExpress/DSers vérifiable</x:v>
      </x:c>
    </x:row>
    <x:row r="20">
      <x:c r="A20" s="57" t="str">
        <x:v>coloriage-mystere-2</x:v>
      </x:c>
      <x:c r="B20" s="58" t="str">
        <x:v>coloriage mystere</x:v>
      </x:c>
      <x:c r="C20" s="58" t="str"/>
      <x:c r="D20" s="58" t="str"/>
      <x:c r="E20" s="93" t="str"/>
      <x:c r="F20" s="93" t="str"/>
      <x:c r="G20" s="93" t="str">
        <x:f>IF(OR(E20="",F20=""),"",E20+F20)</x:f>
      </x:c>
      <x:c r="H20" s="93" t="n">
        <x:f>IFERROR(VLOOKUP(B20,'Collections'!$C$4:$L$18,10,FALSE),"")</x:f>
        <x:v>24.9</x:v>
      </x:c>
      <x:c r="I20" s="101" t="str">
        <x:f>IFERROR(H20/G20,"")</x:f>
      </x:c>
      <x:c r="J20" s="107" t="str"/>
      <x:c r="K20" s="79" t="str"/>
      <x:c r="L20" s="58" t="str"/>
      <x:c r="M20" s="58" t="str"/>
      <x:c r="N20" s="58" t="str"/>
      <x:c r="O20" s="58" t="str"/>
      <x:c r="P20" s="58" t="str"/>
      <x:c r="Q20" s="58" t="str">
        <x:v>Contrôler droits des visuels, qualité réelle, emballage, délais et cohérence des variantes.</x:v>
      </x:c>
      <x:c r="R20" s="58" t="str">
        <x:v>À vérifier</x:v>
      </x:c>
      <x:c r="S20" s="58" t="str"/>
      <x:c r="T20" s="59" t="str">
        <x:v>En attente d'un export AliExpress/DSers vérifiable</x:v>
      </x:c>
    </x:row>
    <x:row r="21">
      <x:c r="A21" s="57" t="str">
        <x:v>coloriage-mystere-3</x:v>
      </x:c>
      <x:c r="B21" s="58" t="str">
        <x:v>coloriage mystere</x:v>
      </x:c>
      <x:c r="C21" s="58" t="str"/>
      <x:c r="D21" s="58" t="str"/>
      <x:c r="E21" s="93" t="str"/>
      <x:c r="F21" s="93" t="str"/>
      <x:c r="G21" s="93" t="str">
        <x:f>IF(OR(E21="",F21=""),"",E21+F21)</x:f>
      </x:c>
      <x:c r="H21" s="93" t="n">
        <x:f>IFERROR(VLOOKUP(B21,'Collections'!$C$4:$L$18,10,FALSE),"")</x:f>
        <x:v>24.9</x:v>
      </x:c>
      <x:c r="I21" s="101" t="str">
        <x:f>IFERROR(H21/G21,"")</x:f>
      </x:c>
      <x:c r="J21" s="107" t="str"/>
      <x:c r="K21" s="79" t="str"/>
      <x:c r="L21" s="58" t="str"/>
      <x:c r="M21" s="58" t="str"/>
      <x:c r="N21" s="58" t="str"/>
      <x:c r="O21" s="58" t="str"/>
      <x:c r="P21" s="58" t="str"/>
      <x:c r="Q21" s="58" t="str">
        <x:v>Contrôler droits des visuels, qualité réelle, emballage, délais et cohérence des variantes.</x:v>
      </x:c>
      <x:c r="R21" s="58" t="str">
        <x:v>À vérifier</x:v>
      </x:c>
      <x:c r="S21" s="58" t="str"/>
      <x:c r="T21" s="59" t="str">
        <x:v>En attente d'un export AliExpress/DSers vérifiable</x:v>
      </x:c>
    </x:row>
    <x:row r="22">
      <x:c r="A22" s="57" t="str">
        <x:v>coloriage-mystere-4</x:v>
      </x:c>
      <x:c r="B22" s="58" t="str">
        <x:v>coloriage mystere</x:v>
      </x:c>
      <x:c r="C22" s="58" t="str"/>
      <x:c r="D22" s="58" t="str"/>
      <x:c r="E22" s="93" t="str"/>
      <x:c r="F22" s="93" t="str"/>
      <x:c r="G22" s="93" t="str">
        <x:f>IF(OR(E22="",F22=""),"",E22+F22)</x:f>
      </x:c>
      <x:c r="H22" s="93" t="n">
        <x:f>IFERROR(VLOOKUP(B22,'Collections'!$C$4:$L$18,10,FALSE),"")</x:f>
        <x:v>24.9</x:v>
      </x:c>
      <x:c r="I22" s="101" t="str">
        <x:f>IFERROR(H22/G22,"")</x:f>
      </x:c>
      <x:c r="J22" s="107" t="str"/>
      <x:c r="K22" s="79" t="str"/>
      <x:c r="L22" s="58" t="str"/>
      <x:c r="M22" s="58" t="str"/>
      <x:c r="N22" s="58" t="str"/>
      <x:c r="O22" s="58" t="str"/>
      <x:c r="P22" s="58" t="str"/>
      <x:c r="Q22" s="58" t="str">
        <x:v>Contrôler droits des visuels, qualité réelle, emballage, délais et cohérence des variantes.</x:v>
      </x:c>
      <x:c r="R22" s="58" t="str">
        <x:v>À vérifier</x:v>
      </x:c>
      <x:c r="S22" s="58" t="str"/>
      <x:c r="T22" s="59" t="str">
        <x:v>En attente d'un export AliExpress/DSers vérifiable</x:v>
      </x:c>
    </x:row>
    <x:row r="23">
      <x:c r="A23" s="57" t="str">
        <x:v>coloriage-mystere-5</x:v>
      </x:c>
      <x:c r="B23" s="58" t="str">
        <x:v>coloriage mystere</x:v>
      </x:c>
      <x:c r="C23" s="58" t="str"/>
      <x:c r="D23" s="58" t="str"/>
      <x:c r="E23" s="93" t="str"/>
      <x:c r="F23" s="93" t="str"/>
      <x:c r="G23" s="93" t="str">
        <x:f>IF(OR(E23="",F23=""),"",E23+F23)</x:f>
      </x:c>
      <x:c r="H23" s="93" t="n">
        <x:f>IFERROR(VLOOKUP(B23,'Collections'!$C$4:$L$18,10,FALSE),"")</x:f>
        <x:v>24.9</x:v>
      </x:c>
      <x:c r="I23" s="101" t="str">
        <x:f>IFERROR(H23/G23,"")</x:f>
      </x:c>
      <x:c r="J23" s="107" t="str"/>
      <x:c r="K23" s="79" t="str"/>
      <x:c r="L23" s="58" t="str"/>
      <x:c r="M23" s="58" t="str"/>
      <x:c r="N23" s="58" t="str"/>
      <x:c r="O23" s="58" t="str"/>
      <x:c r="P23" s="58" t="str"/>
      <x:c r="Q23" s="58" t="str">
        <x:v>Contrôler droits des visuels, qualité réelle, emballage, délais et cohérence des variantes.</x:v>
      </x:c>
      <x:c r="R23" s="58" t="str">
        <x:v>À vérifier</x:v>
      </x:c>
      <x:c r="S23" s="58" t="str"/>
      <x:c r="T23" s="59" t="str">
        <x:v>En attente d'un export AliExpress/DSers vérifiable</x:v>
      </x:c>
    </x:row>
    <x:row r="24">
      <x:c r="A24" s="57" t="str">
        <x:v>coloriage-cosy-1</x:v>
      </x:c>
      <x:c r="B24" s="58" t="str">
        <x:v>coloriage cosy</x:v>
      </x:c>
      <x:c r="C24" s="58" t="str"/>
      <x:c r="D24" s="58" t="str"/>
      <x:c r="E24" s="93" t="str"/>
      <x:c r="F24" s="93" t="str"/>
      <x:c r="G24" s="93" t="str">
        <x:f>IF(OR(E24="",F24=""),"",E24+F24)</x:f>
      </x:c>
      <x:c r="H24" s="93" t="n">
        <x:f>IFERROR(VLOOKUP(B24,'Collections'!$C$4:$L$18,10,FALSE),"")</x:f>
        <x:v>27.9</x:v>
      </x:c>
      <x:c r="I24" s="101" t="str">
        <x:f>IFERROR(H24/G24,"")</x:f>
      </x:c>
      <x:c r="J24" s="107" t="str"/>
      <x:c r="K24" s="79" t="str"/>
      <x:c r="L24" s="58" t="str"/>
      <x:c r="M24" s="58" t="str"/>
      <x:c r="N24" s="58" t="str"/>
      <x:c r="O24" s="58" t="str"/>
      <x:c r="P24" s="58" t="str"/>
      <x:c r="Q24" s="58" t="str">
        <x:v>Contrôler droits des visuels, qualité réelle, emballage, délais et cohérence des variantes.</x:v>
      </x:c>
      <x:c r="R24" s="58" t="str">
        <x:v>À vérifier</x:v>
      </x:c>
      <x:c r="S24" s="58" t="str"/>
      <x:c r="T24" s="59" t="str">
        <x:v>En attente d'un export AliExpress/DSers vérifiable</x:v>
      </x:c>
    </x:row>
    <x:row r="25">
      <x:c r="A25" s="57" t="str">
        <x:v>coloriage-cosy-2</x:v>
      </x:c>
      <x:c r="B25" s="58" t="str">
        <x:v>coloriage cosy</x:v>
      </x:c>
      <x:c r="C25" s="58" t="str"/>
      <x:c r="D25" s="58" t="str"/>
      <x:c r="E25" s="93" t="str"/>
      <x:c r="F25" s="93" t="str"/>
      <x:c r="G25" s="93" t="str">
        <x:f>IF(OR(E25="",F25=""),"",E25+F25)</x:f>
      </x:c>
      <x:c r="H25" s="93" t="n">
        <x:f>IFERROR(VLOOKUP(B25,'Collections'!$C$4:$L$18,10,FALSE),"")</x:f>
        <x:v>27.9</x:v>
      </x:c>
      <x:c r="I25" s="101" t="str">
        <x:f>IFERROR(H25/G25,"")</x:f>
      </x:c>
      <x:c r="J25" s="107" t="str"/>
      <x:c r="K25" s="79" t="str"/>
      <x:c r="L25" s="58" t="str"/>
      <x:c r="M25" s="58" t="str"/>
      <x:c r="N25" s="58" t="str"/>
      <x:c r="O25" s="58" t="str"/>
      <x:c r="P25" s="58" t="str"/>
      <x:c r="Q25" s="58" t="str">
        <x:v>Contrôler droits des visuels, qualité réelle, emballage, délais et cohérence des variantes.</x:v>
      </x:c>
      <x:c r="R25" s="58" t="str">
        <x:v>À vérifier</x:v>
      </x:c>
      <x:c r="S25" s="58" t="str"/>
      <x:c r="T25" s="59" t="str">
        <x:v>En attente d'un export AliExpress/DSers vérifiable</x:v>
      </x:c>
    </x:row>
    <x:row r="26">
      <x:c r="A26" s="57" t="str">
        <x:v>coloriage-cosy-3</x:v>
      </x:c>
      <x:c r="B26" s="58" t="str">
        <x:v>coloriage cosy</x:v>
      </x:c>
      <x:c r="C26" s="58" t="str"/>
      <x:c r="D26" s="58" t="str"/>
      <x:c r="E26" s="93" t="str"/>
      <x:c r="F26" s="93" t="str"/>
      <x:c r="G26" s="93" t="str">
        <x:f>IF(OR(E26="",F26=""),"",E26+F26)</x:f>
      </x:c>
      <x:c r="H26" s="93" t="n">
        <x:f>IFERROR(VLOOKUP(B26,'Collections'!$C$4:$L$18,10,FALSE),"")</x:f>
        <x:v>27.9</x:v>
      </x:c>
      <x:c r="I26" s="101" t="str">
        <x:f>IFERROR(H26/G26,"")</x:f>
      </x:c>
      <x:c r="J26" s="107" t="str"/>
      <x:c r="K26" s="79" t="str"/>
      <x:c r="L26" s="58" t="str"/>
      <x:c r="M26" s="58" t="str"/>
      <x:c r="N26" s="58" t="str"/>
      <x:c r="O26" s="58" t="str"/>
      <x:c r="P26" s="58" t="str"/>
      <x:c r="Q26" s="58" t="str">
        <x:v>Contrôler droits des visuels, qualité réelle, emballage, délais et cohérence des variantes.</x:v>
      </x:c>
      <x:c r="R26" s="58" t="str">
        <x:v>À vérifier</x:v>
      </x:c>
      <x:c r="S26" s="58" t="str"/>
      <x:c r="T26" s="59" t="str">
        <x:v>En attente d'un export AliExpress/DSers vérifiable</x:v>
      </x:c>
    </x:row>
    <x:row r="27">
      <x:c r="A27" s="57" t="str">
        <x:v>coloriage-cosy-4</x:v>
      </x:c>
      <x:c r="B27" s="58" t="str">
        <x:v>coloriage cosy</x:v>
      </x:c>
      <x:c r="C27" s="58" t="str"/>
      <x:c r="D27" s="58" t="str"/>
      <x:c r="E27" s="93" t="str"/>
      <x:c r="F27" s="93" t="str"/>
      <x:c r="G27" s="93" t="str">
        <x:f>IF(OR(E27="",F27=""),"",E27+F27)</x:f>
      </x:c>
      <x:c r="H27" s="93" t="n">
        <x:f>IFERROR(VLOOKUP(B27,'Collections'!$C$4:$L$18,10,FALSE),"")</x:f>
        <x:v>27.9</x:v>
      </x:c>
      <x:c r="I27" s="101" t="str">
        <x:f>IFERROR(H27/G27,"")</x:f>
      </x:c>
      <x:c r="J27" s="107" t="str"/>
      <x:c r="K27" s="79" t="str"/>
      <x:c r="L27" s="58" t="str"/>
      <x:c r="M27" s="58" t="str"/>
      <x:c r="N27" s="58" t="str"/>
      <x:c r="O27" s="58" t="str"/>
      <x:c r="P27" s="58" t="str"/>
      <x:c r="Q27" s="58" t="str">
        <x:v>Contrôler droits des visuels, qualité réelle, emballage, délais et cohérence des variantes.</x:v>
      </x:c>
      <x:c r="R27" s="58" t="str">
        <x:v>À vérifier</x:v>
      </x:c>
      <x:c r="S27" s="58" t="str"/>
      <x:c r="T27" s="59" t="str">
        <x:v>En attente d'un export AliExpress/DSers vérifiable</x:v>
      </x:c>
    </x:row>
    <x:row r="28">
      <x:c r="A28" s="57" t="str">
        <x:v>coloriage-cosy-5</x:v>
      </x:c>
      <x:c r="B28" s="58" t="str">
        <x:v>coloriage cosy</x:v>
      </x:c>
      <x:c r="C28" s="58" t="str"/>
      <x:c r="D28" s="58" t="str"/>
      <x:c r="E28" s="93" t="str"/>
      <x:c r="F28" s="93" t="str"/>
      <x:c r="G28" s="93" t="str">
        <x:f>IF(OR(E28="",F28=""),"",E28+F28)</x:f>
      </x:c>
      <x:c r="H28" s="93" t="n">
        <x:f>IFERROR(VLOOKUP(B28,'Collections'!$C$4:$L$18,10,FALSE),"")</x:f>
        <x:v>27.9</x:v>
      </x:c>
      <x:c r="I28" s="101" t="str">
        <x:f>IFERROR(H28/G28,"")</x:f>
      </x:c>
      <x:c r="J28" s="107" t="str"/>
      <x:c r="K28" s="79" t="str"/>
      <x:c r="L28" s="58" t="str"/>
      <x:c r="M28" s="58" t="str"/>
      <x:c r="N28" s="58" t="str"/>
      <x:c r="O28" s="58" t="str"/>
      <x:c r="P28" s="58" t="str"/>
      <x:c r="Q28" s="58" t="str">
        <x:v>Contrôler droits des visuels, qualité réelle, emballage, délais et cohérence des variantes.</x:v>
      </x:c>
      <x:c r="R28" s="58" t="str">
        <x:v>À vérifier</x:v>
      </x:c>
      <x:c r="S28" s="58" t="str"/>
      <x:c r="T28" s="59" t="str">
        <x:v>En attente d'un export AliExpress/DSers vérifiable</x:v>
      </x:c>
    </x:row>
    <x:row r="29">
      <x:c r="A29" s="57" t="str">
        <x:v>coloriage-manga-1</x:v>
      </x:c>
      <x:c r="B29" s="58" t="str">
        <x:v>coloriage manga</x:v>
      </x:c>
      <x:c r="C29" s="58" t="str"/>
      <x:c r="D29" s="58" t="str"/>
      <x:c r="E29" s="93" t="str"/>
      <x:c r="F29" s="93" t="str"/>
      <x:c r="G29" s="93" t="str">
        <x:f>IF(OR(E29="",F29=""),"",E29+F29)</x:f>
      </x:c>
      <x:c r="H29" s="93" t="n">
        <x:f>IFERROR(VLOOKUP(B29,'Collections'!$C$4:$L$18,10,FALSE),"")</x:f>
        <x:v>24.9</x:v>
      </x:c>
      <x:c r="I29" s="101" t="str">
        <x:f>IFERROR(H29/G29,"")</x:f>
      </x:c>
      <x:c r="J29" s="107" t="str"/>
      <x:c r="K29" s="79" t="str"/>
      <x:c r="L29" s="58" t="str"/>
      <x:c r="M29" s="58" t="str"/>
      <x:c r="N29" s="58" t="str"/>
      <x:c r="O29" s="58" t="str"/>
      <x:c r="P29" s="58" t="str"/>
      <x:c r="Q29" s="58" t="str">
        <x:v>Écarter tout personnage, logo ou visuel sous licence; contrôler l'originalité.</x:v>
      </x:c>
      <x:c r="R29" s="58" t="str">
        <x:v>À vérifier</x:v>
      </x:c>
      <x:c r="S29" s="58" t="str"/>
      <x:c r="T29" s="59" t="str">
        <x:v>En attente d'un export AliExpress/DSers vérifiable</x:v>
      </x:c>
    </x:row>
    <x:row r="30">
      <x:c r="A30" s="57" t="str">
        <x:v>coloriage-manga-2</x:v>
      </x:c>
      <x:c r="B30" s="58" t="str">
        <x:v>coloriage manga</x:v>
      </x:c>
      <x:c r="C30" s="58" t="str"/>
      <x:c r="D30" s="58" t="str"/>
      <x:c r="E30" s="93" t="str"/>
      <x:c r="F30" s="93" t="str"/>
      <x:c r="G30" s="93" t="str">
        <x:f>IF(OR(E30="",F30=""),"",E30+F30)</x:f>
      </x:c>
      <x:c r="H30" s="93" t="n">
        <x:f>IFERROR(VLOOKUP(B30,'Collections'!$C$4:$L$18,10,FALSE),"")</x:f>
        <x:v>24.9</x:v>
      </x:c>
      <x:c r="I30" s="101" t="str">
        <x:f>IFERROR(H30/G30,"")</x:f>
      </x:c>
      <x:c r="J30" s="107" t="str"/>
      <x:c r="K30" s="79" t="str"/>
      <x:c r="L30" s="58" t="str"/>
      <x:c r="M30" s="58" t="str"/>
      <x:c r="N30" s="58" t="str"/>
      <x:c r="O30" s="58" t="str"/>
      <x:c r="P30" s="58" t="str"/>
      <x:c r="Q30" s="58" t="str">
        <x:v>Écarter tout personnage, logo ou visuel sous licence; contrôler l'originalité.</x:v>
      </x:c>
      <x:c r="R30" s="58" t="str">
        <x:v>À vérifier</x:v>
      </x:c>
      <x:c r="S30" s="58" t="str"/>
      <x:c r="T30" s="59" t="str">
        <x:v>En attente d'un export AliExpress/DSers vérifiable</x:v>
      </x:c>
    </x:row>
    <x:row r="31">
      <x:c r="A31" s="57" t="str">
        <x:v>coloriage-manga-3</x:v>
      </x:c>
      <x:c r="B31" s="58" t="str">
        <x:v>coloriage manga</x:v>
      </x:c>
      <x:c r="C31" s="58" t="str"/>
      <x:c r="D31" s="58" t="str"/>
      <x:c r="E31" s="93" t="str"/>
      <x:c r="F31" s="93" t="str"/>
      <x:c r="G31" s="93" t="str">
        <x:f>IF(OR(E31="",F31=""),"",E31+F31)</x:f>
      </x:c>
      <x:c r="H31" s="93" t="n">
        <x:f>IFERROR(VLOOKUP(B31,'Collections'!$C$4:$L$18,10,FALSE),"")</x:f>
        <x:v>24.9</x:v>
      </x:c>
      <x:c r="I31" s="101" t="str">
        <x:f>IFERROR(H31/G31,"")</x:f>
      </x:c>
      <x:c r="J31" s="107" t="str"/>
      <x:c r="K31" s="79" t="str"/>
      <x:c r="L31" s="58" t="str"/>
      <x:c r="M31" s="58" t="str"/>
      <x:c r="N31" s="58" t="str"/>
      <x:c r="O31" s="58" t="str"/>
      <x:c r="P31" s="58" t="str"/>
      <x:c r="Q31" s="58" t="str">
        <x:v>Écarter tout personnage, logo ou visuel sous licence; contrôler l'originalité.</x:v>
      </x:c>
      <x:c r="R31" s="58" t="str">
        <x:v>À vérifier</x:v>
      </x:c>
      <x:c r="S31" s="58" t="str"/>
      <x:c r="T31" s="59" t="str">
        <x:v>En attente d'un export AliExpress/DSers vérifiable</x:v>
      </x:c>
    </x:row>
    <x:row r="32">
      <x:c r="A32" s="57" t="str">
        <x:v>coloriage-manga-4</x:v>
      </x:c>
      <x:c r="B32" s="58" t="str">
        <x:v>coloriage manga</x:v>
      </x:c>
      <x:c r="C32" s="58" t="str"/>
      <x:c r="D32" s="58" t="str"/>
      <x:c r="E32" s="93" t="str"/>
      <x:c r="F32" s="93" t="str"/>
      <x:c r="G32" s="93" t="str">
        <x:f>IF(OR(E32="",F32=""),"",E32+F32)</x:f>
      </x:c>
      <x:c r="H32" s="93" t="n">
        <x:f>IFERROR(VLOOKUP(B32,'Collections'!$C$4:$L$18,10,FALSE),"")</x:f>
        <x:v>24.9</x:v>
      </x:c>
      <x:c r="I32" s="101" t="str">
        <x:f>IFERROR(H32/G32,"")</x:f>
      </x:c>
      <x:c r="J32" s="107" t="str"/>
      <x:c r="K32" s="79" t="str"/>
      <x:c r="L32" s="58" t="str"/>
      <x:c r="M32" s="58" t="str"/>
      <x:c r="N32" s="58" t="str"/>
      <x:c r="O32" s="58" t="str"/>
      <x:c r="P32" s="58" t="str"/>
      <x:c r="Q32" s="58" t="str">
        <x:v>Écarter tout personnage, logo ou visuel sous licence; contrôler l'originalité.</x:v>
      </x:c>
      <x:c r="R32" s="58" t="str">
        <x:v>À vérifier</x:v>
      </x:c>
      <x:c r="S32" s="58" t="str"/>
      <x:c r="T32" s="59" t="str">
        <x:v>En attente d'un export AliExpress/DSers vérifiable</x:v>
      </x:c>
    </x:row>
    <x:row r="33">
      <x:c r="A33" s="57" t="str">
        <x:v>coloriage-manga-5</x:v>
      </x:c>
      <x:c r="B33" s="58" t="str">
        <x:v>coloriage manga</x:v>
      </x:c>
      <x:c r="C33" s="58" t="str"/>
      <x:c r="D33" s="58" t="str"/>
      <x:c r="E33" s="93" t="str"/>
      <x:c r="F33" s="93" t="str"/>
      <x:c r="G33" s="93" t="str">
        <x:f>IF(OR(E33="",F33=""),"",E33+F33)</x:f>
      </x:c>
      <x:c r="H33" s="93" t="n">
        <x:f>IFERROR(VLOOKUP(B33,'Collections'!$C$4:$L$18,10,FALSE),"")</x:f>
        <x:v>24.9</x:v>
      </x:c>
      <x:c r="I33" s="101" t="str">
        <x:f>IFERROR(H33/G33,"")</x:f>
      </x:c>
      <x:c r="J33" s="107" t="str"/>
      <x:c r="K33" s="79" t="str"/>
      <x:c r="L33" s="58" t="str"/>
      <x:c r="M33" s="58" t="str"/>
      <x:c r="N33" s="58" t="str"/>
      <x:c r="O33" s="58" t="str"/>
      <x:c r="P33" s="58" t="str"/>
      <x:c r="Q33" s="58" t="str">
        <x:v>Écarter tout personnage, logo ou visuel sous licence; contrôler l'originalité.</x:v>
      </x:c>
      <x:c r="R33" s="58" t="str">
        <x:v>À vérifier</x:v>
      </x:c>
      <x:c r="S33" s="58" t="str"/>
      <x:c r="T33" s="59" t="str">
        <x:v>En attente d'un export AliExpress/DSers vérifiable</x:v>
      </x:c>
    </x:row>
    <x:row r="34">
      <x:c r="A34" s="57" t="str">
        <x:v>coloriage-foot-1</x:v>
      </x:c>
      <x:c r="B34" s="58" t="str">
        <x:v>coloriage foot</x:v>
      </x:c>
      <x:c r="C34" s="58" t="str"/>
      <x:c r="D34" s="58" t="str"/>
      <x:c r="E34" s="93" t="str"/>
      <x:c r="F34" s="93" t="str"/>
      <x:c r="G34" s="93" t="str">
        <x:f>IF(OR(E34="",F34=""),"",E34+F34)</x:f>
      </x:c>
      <x:c r="H34" s="93" t="n">
        <x:f>IFERROR(VLOOKUP(B34,'Collections'!$C$4:$L$18,10,FALSE),"")</x:f>
        <x:v>19.9</x:v>
      </x:c>
      <x:c r="I34" s="101" t="str">
        <x:f>IFERROR(H34/G34,"")</x:f>
      </x:c>
      <x:c r="J34" s="107" t="str"/>
      <x:c r="K34" s="79" t="str"/>
      <x:c r="L34" s="58" t="str"/>
      <x:c r="M34" s="58" t="str"/>
      <x:c r="N34" s="58" t="str"/>
      <x:c r="O34" s="58" t="str"/>
      <x:c r="P34" s="58" t="str"/>
      <x:c r="Q34" s="58" t="str">
        <x:v>Contrôler droits des visuels, qualité réelle, emballage, délais et cohérence des variantes.</x:v>
      </x:c>
      <x:c r="R34" s="58" t="str">
        <x:v>À vérifier</x:v>
      </x:c>
      <x:c r="S34" s="58" t="str"/>
      <x:c r="T34" s="59" t="str">
        <x:v>En attente d'un export AliExpress/DSers vérifiable</x:v>
      </x:c>
    </x:row>
    <x:row r="35">
      <x:c r="A35" s="57" t="str">
        <x:v>coloriage-foot-2</x:v>
      </x:c>
      <x:c r="B35" s="58" t="str">
        <x:v>coloriage foot</x:v>
      </x:c>
      <x:c r="C35" s="58" t="str"/>
      <x:c r="D35" s="58" t="str"/>
      <x:c r="E35" s="93" t="str"/>
      <x:c r="F35" s="93" t="str"/>
      <x:c r="G35" s="93" t="str">
        <x:f>IF(OR(E35="",F35=""),"",E35+F35)</x:f>
      </x:c>
      <x:c r="H35" s="93" t="n">
        <x:f>IFERROR(VLOOKUP(B35,'Collections'!$C$4:$L$18,10,FALSE),"")</x:f>
        <x:v>19.9</x:v>
      </x:c>
      <x:c r="I35" s="101" t="str">
        <x:f>IFERROR(H35/G35,"")</x:f>
      </x:c>
      <x:c r="J35" s="107" t="str"/>
      <x:c r="K35" s="79" t="str"/>
      <x:c r="L35" s="58" t="str"/>
      <x:c r="M35" s="58" t="str"/>
      <x:c r="N35" s="58" t="str"/>
      <x:c r="O35" s="58" t="str"/>
      <x:c r="P35" s="58" t="str"/>
      <x:c r="Q35" s="58" t="str">
        <x:v>Contrôler droits des visuels, qualité réelle, emballage, délais et cohérence des variantes.</x:v>
      </x:c>
      <x:c r="R35" s="58" t="str">
        <x:v>À vérifier</x:v>
      </x:c>
      <x:c r="S35" s="58" t="str"/>
      <x:c r="T35" s="59" t="str">
        <x:v>En attente d'un export AliExpress/DSers vérifiable</x:v>
      </x:c>
    </x:row>
    <x:row r="36">
      <x:c r="A36" s="57" t="str">
        <x:v>coloriage-foot-3</x:v>
      </x:c>
      <x:c r="B36" s="58" t="str">
        <x:v>coloriage foot</x:v>
      </x:c>
      <x:c r="C36" s="58" t="str"/>
      <x:c r="D36" s="58" t="str"/>
      <x:c r="E36" s="93" t="str"/>
      <x:c r="F36" s="93" t="str"/>
      <x:c r="G36" s="93" t="str">
        <x:f>IF(OR(E36="",F36=""),"",E36+F36)</x:f>
      </x:c>
      <x:c r="H36" s="93" t="n">
        <x:f>IFERROR(VLOOKUP(B36,'Collections'!$C$4:$L$18,10,FALSE),"")</x:f>
        <x:v>19.9</x:v>
      </x:c>
      <x:c r="I36" s="101" t="str">
        <x:f>IFERROR(H36/G36,"")</x:f>
      </x:c>
      <x:c r="J36" s="107" t="str"/>
      <x:c r="K36" s="79" t="str"/>
      <x:c r="L36" s="58" t="str"/>
      <x:c r="M36" s="58" t="str"/>
      <x:c r="N36" s="58" t="str"/>
      <x:c r="O36" s="58" t="str"/>
      <x:c r="P36" s="58" t="str"/>
      <x:c r="Q36" s="58" t="str">
        <x:v>Contrôler droits des visuels, qualité réelle, emballage, délais et cohérence des variantes.</x:v>
      </x:c>
      <x:c r="R36" s="58" t="str">
        <x:v>À vérifier</x:v>
      </x:c>
      <x:c r="S36" s="58" t="str"/>
      <x:c r="T36" s="59" t="str">
        <x:v>En attente d'un export AliExpress/DSers vérifiable</x:v>
      </x:c>
    </x:row>
    <x:row r="37">
      <x:c r="A37" s="57" t="str">
        <x:v>coloriage-foot-4</x:v>
      </x:c>
      <x:c r="B37" s="58" t="str">
        <x:v>coloriage foot</x:v>
      </x:c>
      <x:c r="C37" s="58" t="str"/>
      <x:c r="D37" s="58" t="str"/>
      <x:c r="E37" s="93" t="str"/>
      <x:c r="F37" s="93" t="str"/>
      <x:c r="G37" s="93" t="str">
        <x:f>IF(OR(E37="",F37=""),"",E37+F37)</x:f>
      </x:c>
      <x:c r="H37" s="93" t="n">
        <x:f>IFERROR(VLOOKUP(B37,'Collections'!$C$4:$L$18,10,FALSE),"")</x:f>
        <x:v>19.9</x:v>
      </x:c>
      <x:c r="I37" s="101" t="str">
        <x:f>IFERROR(H37/G37,"")</x:f>
      </x:c>
      <x:c r="J37" s="107" t="str"/>
      <x:c r="K37" s="79" t="str"/>
      <x:c r="L37" s="58" t="str"/>
      <x:c r="M37" s="58" t="str"/>
      <x:c r="N37" s="58" t="str"/>
      <x:c r="O37" s="58" t="str"/>
      <x:c r="P37" s="58" t="str"/>
      <x:c r="Q37" s="58" t="str">
        <x:v>Contrôler droits des visuels, qualité réelle, emballage, délais et cohérence des variantes.</x:v>
      </x:c>
      <x:c r="R37" s="58" t="str">
        <x:v>À vérifier</x:v>
      </x:c>
      <x:c r="S37" s="58" t="str"/>
      <x:c r="T37" s="59" t="str">
        <x:v>En attente d'un export AliExpress/DSers vérifiable</x:v>
      </x:c>
    </x:row>
    <x:row r="38">
      <x:c r="A38" s="57" t="str">
        <x:v>coloriage-foot-5</x:v>
      </x:c>
      <x:c r="B38" s="58" t="str">
        <x:v>coloriage foot</x:v>
      </x:c>
      <x:c r="C38" s="58" t="str"/>
      <x:c r="D38" s="58" t="str"/>
      <x:c r="E38" s="93" t="str"/>
      <x:c r="F38" s="93" t="str"/>
      <x:c r="G38" s="93" t="str">
        <x:f>IF(OR(E38="",F38=""),"",E38+F38)</x:f>
      </x:c>
      <x:c r="H38" s="93" t="n">
        <x:f>IFERROR(VLOOKUP(B38,'Collections'!$C$4:$L$18,10,FALSE),"")</x:f>
        <x:v>19.9</x:v>
      </x:c>
      <x:c r="I38" s="101" t="str">
        <x:f>IFERROR(H38/G38,"")</x:f>
      </x:c>
      <x:c r="J38" s="107" t="str"/>
      <x:c r="K38" s="79" t="str"/>
      <x:c r="L38" s="58" t="str"/>
      <x:c r="M38" s="58" t="str"/>
      <x:c r="N38" s="58" t="str"/>
      <x:c r="O38" s="58" t="str"/>
      <x:c r="P38" s="58" t="str"/>
      <x:c r="Q38" s="58" t="str">
        <x:v>Contrôler droits des visuels, qualité réelle, emballage, délais et cohérence des variantes.</x:v>
      </x:c>
      <x:c r="R38" s="58" t="str">
        <x:v>À vérifier</x:v>
      </x:c>
      <x:c r="S38" s="58" t="str"/>
      <x:c r="T38" s="59" t="str">
        <x:v>En attente d'un export AliExpress/DSers vérifiable</x:v>
      </x:c>
    </x:row>
    <x:row r="39">
      <x:c r="A39" s="57" t="str">
        <x:v>coloriage-fille-1</x:v>
      </x:c>
      <x:c r="B39" s="58" t="str">
        <x:v>coloriage fille</x:v>
      </x:c>
      <x:c r="C39" s="58" t="str"/>
      <x:c r="D39" s="58" t="str"/>
      <x:c r="E39" s="93" t="str"/>
      <x:c r="F39" s="93" t="str"/>
      <x:c r="G39" s="93" t="str">
        <x:f>IF(OR(E39="",F39=""),"",E39+F39)</x:f>
      </x:c>
      <x:c r="H39" s="93" t="n">
        <x:f>IFERROR(VLOOKUP(B39,'Collections'!$C$4:$L$18,10,FALSE),"")</x:f>
        <x:v>19.9</x:v>
      </x:c>
      <x:c r="I39" s="101" t="str">
        <x:f>IFERROR(H39/G39,"")</x:f>
      </x:c>
      <x:c r="J39" s="107" t="str"/>
      <x:c r="K39" s="79" t="str"/>
      <x:c r="L39" s="58" t="str"/>
      <x:c r="M39" s="58" t="str"/>
      <x:c r="N39" s="58" t="str"/>
      <x:c r="O39" s="58" t="str"/>
      <x:c r="P39" s="58" t="str"/>
      <x:c r="Q39" s="58" t="str">
        <x:v>Contrôler droits des visuels, qualité réelle, emballage, délais et cohérence des variantes.</x:v>
      </x:c>
      <x:c r="R39" s="58" t="str">
        <x:v>À vérifier</x:v>
      </x:c>
      <x:c r="S39" s="58" t="str"/>
      <x:c r="T39" s="59" t="str">
        <x:v>En attente d'un export AliExpress/DSers vérifiable</x:v>
      </x:c>
    </x:row>
    <x:row r="40">
      <x:c r="A40" s="57" t="str">
        <x:v>coloriage-fille-2</x:v>
      </x:c>
      <x:c r="B40" s="58" t="str">
        <x:v>coloriage fille</x:v>
      </x:c>
      <x:c r="C40" s="58" t="str"/>
      <x:c r="D40" s="58" t="str"/>
      <x:c r="E40" s="93" t="str"/>
      <x:c r="F40" s="93" t="str"/>
      <x:c r="G40" s="93" t="str">
        <x:f>IF(OR(E40="",F40=""),"",E40+F40)</x:f>
      </x:c>
      <x:c r="H40" s="93" t="n">
        <x:f>IFERROR(VLOOKUP(B40,'Collections'!$C$4:$L$18,10,FALSE),"")</x:f>
        <x:v>19.9</x:v>
      </x:c>
      <x:c r="I40" s="101" t="str">
        <x:f>IFERROR(H40/G40,"")</x:f>
      </x:c>
      <x:c r="J40" s="107" t="str"/>
      <x:c r="K40" s="79" t="str"/>
      <x:c r="L40" s="58" t="str"/>
      <x:c r="M40" s="58" t="str"/>
      <x:c r="N40" s="58" t="str"/>
      <x:c r="O40" s="58" t="str"/>
      <x:c r="P40" s="58" t="str"/>
      <x:c r="Q40" s="58" t="str">
        <x:v>Contrôler droits des visuels, qualité réelle, emballage, délais et cohérence des variantes.</x:v>
      </x:c>
      <x:c r="R40" s="58" t="str">
        <x:v>À vérifier</x:v>
      </x:c>
      <x:c r="S40" s="58" t="str"/>
      <x:c r="T40" s="59" t="str">
        <x:v>En attente d'un export AliExpress/DSers vérifiable</x:v>
      </x:c>
    </x:row>
    <x:row r="41">
      <x:c r="A41" s="57" t="str">
        <x:v>coloriage-fille-3</x:v>
      </x:c>
      <x:c r="B41" s="58" t="str">
        <x:v>coloriage fille</x:v>
      </x:c>
      <x:c r="C41" s="58" t="str"/>
      <x:c r="D41" s="58" t="str"/>
      <x:c r="E41" s="93" t="str"/>
      <x:c r="F41" s="93" t="str"/>
      <x:c r="G41" s="93" t="str">
        <x:f>IF(OR(E41="",F41=""),"",E41+F41)</x:f>
      </x:c>
      <x:c r="H41" s="93" t="n">
        <x:f>IFERROR(VLOOKUP(B41,'Collections'!$C$4:$L$18,10,FALSE),"")</x:f>
        <x:v>19.9</x:v>
      </x:c>
      <x:c r="I41" s="101" t="str">
        <x:f>IFERROR(H41/G41,"")</x:f>
      </x:c>
      <x:c r="J41" s="107" t="str"/>
      <x:c r="K41" s="79" t="str"/>
      <x:c r="L41" s="58" t="str"/>
      <x:c r="M41" s="58" t="str"/>
      <x:c r="N41" s="58" t="str"/>
      <x:c r="O41" s="58" t="str"/>
      <x:c r="P41" s="58" t="str"/>
      <x:c r="Q41" s="58" t="str">
        <x:v>Contrôler droits des visuels, qualité réelle, emballage, délais et cohérence des variantes.</x:v>
      </x:c>
      <x:c r="R41" s="58" t="str">
        <x:v>À vérifier</x:v>
      </x:c>
      <x:c r="S41" s="58" t="str"/>
      <x:c r="T41" s="59" t="str">
        <x:v>En attente d'un export AliExpress/DSers vérifiable</x:v>
      </x:c>
    </x:row>
    <x:row r="42">
      <x:c r="A42" s="57" t="str">
        <x:v>coloriage-fille-4</x:v>
      </x:c>
      <x:c r="B42" s="58" t="str">
        <x:v>coloriage fille</x:v>
      </x:c>
      <x:c r="C42" s="58" t="str"/>
      <x:c r="D42" s="58" t="str"/>
      <x:c r="E42" s="93" t="str"/>
      <x:c r="F42" s="93" t="str"/>
      <x:c r="G42" s="93" t="str">
        <x:f>IF(OR(E42="",F42=""),"",E42+F42)</x:f>
      </x:c>
      <x:c r="H42" s="93" t="n">
        <x:f>IFERROR(VLOOKUP(B42,'Collections'!$C$4:$L$18,10,FALSE),"")</x:f>
        <x:v>19.9</x:v>
      </x:c>
      <x:c r="I42" s="101" t="str">
        <x:f>IFERROR(H42/G42,"")</x:f>
      </x:c>
      <x:c r="J42" s="107" t="str"/>
      <x:c r="K42" s="79" t="str"/>
      <x:c r="L42" s="58" t="str"/>
      <x:c r="M42" s="58" t="str"/>
      <x:c r="N42" s="58" t="str"/>
      <x:c r="O42" s="58" t="str"/>
      <x:c r="P42" s="58" t="str"/>
      <x:c r="Q42" s="58" t="str">
        <x:v>Contrôler droits des visuels, qualité réelle, emballage, délais et cohérence des variantes.</x:v>
      </x:c>
      <x:c r="R42" s="58" t="str">
        <x:v>À vérifier</x:v>
      </x:c>
      <x:c r="S42" s="58" t="str"/>
      <x:c r="T42" s="59" t="str">
        <x:v>En attente d'un export AliExpress/DSers vérifiable</x:v>
      </x:c>
    </x:row>
    <x:row r="43">
      <x:c r="A43" s="57" t="str">
        <x:v>coloriage-fille-5</x:v>
      </x:c>
      <x:c r="B43" s="58" t="str">
        <x:v>coloriage fille</x:v>
      </x:c>
      <x:c r="C43" s="58" t="str"/>
      <x:c r="D43" s="58" t="str"/>
      <x:c r="E43" s="93" t="str"/>
      <x:c r="F43" s="93" t="str"/>
      <x:c r="G43" s="93" t="str">
        <x:f>IF(OR(E43="",F43=""),"",E43+F43)</x:f>
      </x:c>
      <x:c r="H43" s="93" t="n">
        <x:f>IFERROR(VLOOKUP(B43,'Collections'!$C$4:$L$18,10,FALSE),"")</x:f>
        <x:v>19.9</x:v>
      </x:c>
      <x:c r="I43" s="101" t="str">
        <x:f>IFERROR(H43/G43,"")</x:f>
      </x:c>
      <x:c r="J43" s="107" t="str"/>
      <x:c r="K43" s="79" t="str"/>
      <x:c r="L43" s="58" t="str"/>
      <x:c r="M43" s="58" t="str"/>
      <x:c r="N43" s="58" t="str"/>
      <x:c r="O43" s="58" t="str"/>
      <x:c r="P43" s="58" t="str"/>
      <x:c r="Q43" s="58" t="str">
        <x:v>Contrôler droits des visuels, qualité réelle, emballage, délais et cohérence des variantes.</x:v>
      </x:c>
      <x:c r="R43" s="58" t="str">
        <x:v>À vérifier</x:v>
      </x:c>
      <x:c r="S43" s="58" t="str"/>
      <x:c r="T43" s="59" t="str">
        <x:v>En attente d'un export AliExpress/DSers vérifiable</x:v>
      </x:c>
    </x:row>
    <x:row r="44">
      <x:c r="A44" s="57" t="str">
        <x:v>coloriage-kawaii-fille-1</x:v>
      </x:c>
      <x:c r="B44" s="58" t="str">
        <x:v>coloriage kawaii fille</x:v>
      </x:c>
      <x:c r="C44" s="58" t="str"/>
      <x:c r="D44" s="58" t="str"/>
      <x:c r="E44" s="93" t="str"/>
      <x:c r="F44" s="93" t="str"/>
      <x:c r="G44" s="93" t="str">
        <x:f>IF(OR(E44="",F44=""),"",E44+F44)</x:f>
      </x:c>
      <x:c r="H44" s="93" t="n">
        <x:f>IFERROR(VLOOKUP(B44,'Collections'!$C$4:$L$18,10,FALSE),"")</x:f>
        <x:v>19.9</x:v>
      </x:c>
      <x:c r="I44" s="101" t="str">
        <x:f>IFERROR(H44/G44,"")</x:f>
      </x:c>
      <x:c r="J44" s="107" t="str"/>
      <x:c r="K44" s="79" t="str"/>
      <x:c r="L44" s="58" t="str"/>
      <x:c r="M44" s="58" t="str"/>
      <x:c r="N44" s="58" t="str"/>
      <x:c r="O44" s="58" t="str"/>
      <x:c r="P44" s="58" t="str"/>
      <x:c r="Q44" s="58" t="str">
        <x:v>Contrôler droits des visuels, qualité réelle, emballage, délais et cohérence des variantes.</x:v>
      </x:c>
      <x:c r="R44" s="58" t="str">
        <x:v>À vérifier</x:v>
      </x:c>
      <x:c r="S44" s="58" t="str"/>
      <x:c r="T44" s="59" t="str">
        <x:v>En attente d'un export AliExpress/DSers vérifiable</x:v>
      </x:c>
    </x:row>
    <x:row r="45">
      <x:c r="A45" s="57" t="str">
        <x:v>coloriage-kawaii-fille-2</x:v>
      </x:c>
      <x:c r="B45" s="58" t="str">
        <x:v>coloriage kawaii fille</x:v>
      </x:c>
      <x:c r="C45" s="58" t="str"/>
      <x:c r="D45" s="58" t="str"/>
      <x:c r="E45" s="93" t="str"/>
      <x:c r="F45" s="93" t="str"/>
      <x:c r="G45" s="93" t="str">
        <x:f>IF(OR(E45="",F45=""),"",E45+F45)</x:f>
      </x:c>
      <x:c r="H45" s="93" t="n">
        <x:f>IFERROR(VLOOKUP(B45,'Collections'!$C$4:$L$18,10,FALSE),"")</x:f>
        <x:v>19.9</x:v>
      </x:c>
      <x:c r="I45" s="101" t="str">
        <x:f>IFERROR(H45/G45,"")</x:f>
      </x:c>
      <x:c r="J45" s="107" t="str"/>
      <x:c r="K45" s="79" t="str"/>
      <x:c r="L45" s="58" t="str"/>
      <x:c r="M45" s="58" t="str"/>
      <x:c r="N45" s="58" t="str"/>
      <x:c r="O45" s="58" t="str"/>
      <x:c r="P45" s="58" t="str"/>
      <x:c r="Q45" s="58" t="str">
        <x:v>Contrôler droits des visuels, qualité réelle, emballage, délais et cohérence des variantes.</x:v>
      </x:c>
      <x:c r="R45" s="58" t="str">
        <x:v>À vérifier</x:v>
      </x:c>
      <x:c r="S45" s="58" t="str"/>
      <x:c r="T45" s="59" t="str">
        <x:v>En attente d'un export AliExpress/DSers vérifiable</x:v>
      </x:c>
    </x:row>
    <x:row r="46">
      <x:c r="A46" s="57" t="str">
        <x:v>coloriage-kawaii-fille-3</x:v>
      </x:c>
      <x:c r="B46" s="58" t="str">
        <x:v>coloriage kawaii fille</x:v>
      </x:c>
      <x:c r="C46" s="58" t="str"/>
      <x:c r="D46" s="58" t="str"/>
      <x:c r="E46" s="93" t="str"/>
      <x:c r="F46" s="93" t="str"/>
      <x:c r="G46" s="93" t="str">
        <x:f>IF(OR(E46="",F46=""),"",E46+F46)</x:f>
      </x:c>
      <x:c r="H46" s="93" t="n">
        <x:f>IFERROR(VLOOKUP(B46,'Collections'!$C$4:$L$18,10,FALSE),"")</x:f>
        <x:v>19.9</x:v>
      </x:c>
      <x:c r="I46" s="101" t="str">
        <x:f>IFERROR(H46/G46,"")</x:f>
      </x:c>
      <x:c r="J46" s="107" t="str"/>
      <x:c r="K46" s="79" t="str"/>
      <x:c r="L46" s="58" t="str"/>
      <x:c r="M46" s="58" t="str"/>
      <x:c r="N46" s="58" t="str"/>
      <x:c r="O46" s="58" t="str"/>
      <x:c r="P46" s="58" t="str"/>
      <x:c r="Q46" s="58" t="str">
        <x:v>Contrôler droits des visuels, qualité réelle, emballage, délais et cohérence des variantes.</x:v>
      </x:c>
      <x:c r="R46" s="58" t="str">
        <x:v>À vérifier</x:v>
      </x:c>
      <x:c r="S46" s="58" t="str"/>
      <x:c r="T46" s="59" t="str">
        <x:v>En attente d'un export AliExpress/DSers vérifiable</x:v>
      </x:c>
    </x:row>
    <x:row r="47">
      <x:c r="A47" s="57" t="str">
        <x:v>coloriage-kawaii-fille-4</x:v>
      </x:c>
      <x:c r="B47" s="58" t="str">
        <x:v>coloriage kawaii fille</x:v>
      </x:c>
      <x:c r="C47" s="58" t="str"/>
      <x:c r="D47" s="58" t="str"/>
      <x:c r="E47" s="93" t="str"/>
      <x:c r="F47" s="93" t="str"/>
      <x:c r="G47" s="93" t="str">
        <x:f>IF(OR(E47="",F47=""),"",E47+F47)</x:f>
      </x:c>
      <x:c r="H47" s="93" t="n">
        <x:f>IFERROR(VLOOKUP(B47,'Collections'!$C$4:$L$18,10,FALSE),"")</x:f>
        <x:v>19.9</x:v>
      </x:c>
      <x:c r="I47" s="101" t="str">
        <x:f>IFERROR(H47/G47,"")</x:f>
      </x:c>
      <x:c r="J47" s="107" t="str"/>
      <x:c r="K47" s="79" t="str"/>
      <x:c r="L47" s="58" t="str"/>
      <x:c r="M47" s="58" t="str"/>
      <x:c r="N47" s="58" t="str"/>
      <x:c r="O47" s="58" t="str"/>
      <x:c r="P47" s="58" t="str"/>
      <x:c r="Q47" s="58" t="str">
        <x:v>Contrôler droits des visuels, qualité réelle, emballage, délais et cohérence des variantes.</x:v>
      </x:c>
      <x:c r="R47" s="58" t="str">
        <x:v>À vérifier</x:v>
      </x:c>
      <x:c r="S47" s="58" t="str"/>
      <x:c r="T47" s="59" t="str">
        <x:v>En attente d'un export AliExpress/DSers vérifiable</x:v>
      </x:c>
    </x:row>
    <x:row r="48">
      <x:c r="A48" s="57" t="str">
        <x:v>coloriage-kawaii-fille-5</x:v>
      </x:c>
      <x:c r="B48" s="58" t="str">
        <x:v>coloriage kawaii fille</x:v>
      </x:c>
      <x:c r="C48" s="58" t="str"/>
      <x:c r="D48" s="58" t="str"/>
      <x:c r="E48" s="93" t="str"/>
      <x:c r="F48" s="93" t="str"/>
      <x:c r="G48" s="93" t="str">
        <x:f>IF(OR(E48="",F48=""),"",E48+F48)</x:f>
      </x:c>
      <x:c r="H48" s="93" t="n">
        <x:f>IFERROR(VLOOKUP(B48,'Collections'!$C$4:$L$18,10,FALSE),"")</x:f>
        <x:v>19.9</x:v>
      </x:c>
      <x:c r="I48" s="101" t="str">
        <x:f>IFERROR(H48/G48,"")</x:f>
      </x:c>
      <x:c r="J48" s="107" t="str"/>
      <x:c r="K48" s="79" t="str"/>
      <x:c r="L48" s="58" t="str"/>
      <x:c r="M48" s="58" t="str"/>
      <x:c r="N48" s="58" t="str"/>
      <x:c r="O48" s="58" t="str"/>
      <x:c r="P48" s="58" t="str"/>
      <x:c r="Q48" s="58" t="str">
        <x:v>Contrôler droits des visuels, qualité réelle, emballage, délais et cohérence des variantes.</x:v>
      </x:c>
      <x:c r="R48" s="58" t="str">
        <x:v>À vérifier</x:v>
      </x:c>
      <x:c r="S48" s="58" t="str"/>
      <x:c r="T48" s="59" t="str">
        <x:v>En attente d'un export AliExpress/DSers vérifiable</x:v>
      </x:c>
    </x:row>
    <x:row r="49">
      <x:c r="A49" s="57" t="str">
        <x:v>chat-kawaii-1</x:v>
      </x:c>
      <x:c r="B49" s="58" t="str">
        <x:v>chat kawaii</x:v>
      </x:c>
      <x:c r="C49" s="58" t="str"/>
      <x:c r="D49" s="58" t="str"/>
      <x:c r="E49" s="93" t="str"/>
      <x:c r="F49" s="93" t="str"/>
      <x:c r="G49" s="93" t="str">
        <x:f>IF(OR(E49="",F49=""),"",E49+F49)</x:f>
      </x:c>
      <x:c r="H49" s="93" t="n">
        <x:f>IFERROR(VLOOKUP(B49,'Collections'!$C$4:$L$18,10,FALSE),"")</x:f>
        <x:v>22.9</x:v>
      </x:c>
      <x:c r="I49" s="101" t="str">
        <x:f>IFERROR(H49/G49,"")</x:f>
      </x:c>
      <x:c r="J49" s="107" t="str"/>
      <x:c r="K49" s="79" t="str"/>
      <x:c r="L49" s="58" t="str"/>
      <x:c r="M49" s="58" t="str"/>
      <x:c r="N49" s="58" t="str"/>
      <x:c r="O49" s="58" t="str"/>
      <x:c r="P49" s="58" t="str"/>
      <x:c r="Q49" s="58" t="str">
        <x:v>Écarter tout personnage, logo ou visuel sous licence; contrôler l'originalité.</x:v>
      </x:c>
      <x:c r="R49" s="58" t="str">
        <x:v>À vérifier</x:v>
      </x:c>
      <x:c r="S49" s="58" t="str"/>
      <x:c r="T49" s="59" t="str">
        <x:v>En attente d'un export AliExpress/DSers vérifiable</x:v>
      </x:c>
    </x:row>
    <x:row r="50">
      <x:c r="A50" s="57" t="str">
        <x:v>chat-kawaii-2</x:v>
      </x:c>
      <x:c r="B50" s="58" t="str">
        <x:v>chat kawaii</x:v>
      </x:c>
      <x:c r="C50" s="58" t="str"/>
      <x:c r="D50" s="58" t="str"/>
      <x:c r="E50" s="93" t="str"/>
      <x:c r="F50" s="93" t="str"/>
      <x:c r="G50" s="93" t="str">
        <x:f>IF(OR(E50="",F50=""),"",E50+F50)</x:f>
      </x:c>
      <x:c r="H50" s="93" t="n">
        <x:f>IFERROR(VLOOKUP(B50,'Collections'!$C$4:$L$18,10,FALSE),"")</x:f>
        <x:v>22.9</x:v>
      </x:c>
      <x:c r="I50" s="101" t="str">
        <x:f>IFERROR(H50/G50,"")</x:f>
      </x:c>
      <x:c r="J50" s="107" t="str"/>
      <x:c r="K50" s="79" t="str"/>
      <x:c r="L50" s="58" t="str"/>
      <x:c r="M50" s="58" t="str"/>
      <x:c r="N50" s="58" t="str"/>
      <x:c r="O50" s="58" t="str"/>
      <x:c r="P50" s="58" t="str"/>
      <x:c r="Q50" s="58" t="str">
        <x:v>Écarter tout personnage, logo ou visuel sous licence; contrôler l'originalité.</x:v>
      </x:c>
      <x:c r="R50" s="58" t="str">
        <x:v>À vérifier</x:v>
      </x:c>
      <x:c r="S50" s="58" t="str"/>
      <x:c r="T50" s="59" t="str">
        <x:v>En attente d'un export AliExpress/DSers vérifiable</x:v>
      </x:c>
    </x:row>
    <x:row r="51">
      <x:c r="A51" s="57" t="str">
        <x:v>chat-kawaii-3</x:v>
      </x:c>
      <x:c r="B51" s="58" t="str">
        <x:v>chat kawaii</x:v>
      </x:c>
      <x:c r="C51" s="58" t="str"/>
      <x:c r="D51" s="58" t="str"/>
      <x:c r="E51" s="93" t="str"/>
      <x:c r="F51" s="93" t="str"/>
      <x:c r="G51" s="93" t="str">
        <x:f>IF(OR(E51="",F51=""),"",E51+F51)</x:f>
      </x:c>
      <x:c r="H51" s="93" t="n">
        <x:f>IFERROR(VLOOKUP(B51,'Collections'!$C$4:$L$18,10,FALSE),"")</x:f>
        <x:v>22.9</x:v>
      </x:c>
      <x:c r="I51" s="101" t="str">
        <x:f>IFERROR(H51/G51,"")</x:f>
      </x:c>
      <x:c r="J51" s="107" t="str"/>
      <x:c r="K51" s="79" t="str"/>
      <x:c r="L51" s="58" t="str"/>
      <x:c r="M51" s="58" t="str"/>
      <x:c r="N51" s="58" t="str"/>
      <x:c r="O51" s="58" t="str"/>
      <x:c r="P51" s="58" t="str"/>
      <x:c r="Q51" s="58" t="str">
        <x:v>Écarter tout personnage, logo ou visuel sous licence; contrôler l'originalité.</x:v>
      </x:c>
      <x:c r="R51" s="58" t="str">
        <x:v>À vérifier</x:v>
      </x:c>
      <x:c r="S51" s="58" t="str"/>
      <x:c r="T51" s="59" t="str">
        <x:v>En attente d'un export AliExpress/DSers vérifiable</x:v>
      </x:c>
    </x:row>
    <x:row r="52">
      <x:c r="A52" s="57" t="str">
        <x:v>chat-kawaii-4</x:v>
      </x:c>
      <x:c r="B52" s="58" t="str">
        <x:v>chat kawaii</x:v>
      </x:c>
      <x:c r="C52" s="58" t="str"/>
      <x:c r="D52" s="58" t="str"/>
      <x:c r="E52" s="93" t="str"/>
      <x:c r="F52" s="93" t="str"/>
      <x:c r="G52" s="93" t="str">
        <x:f>IF(OR(E52="",F52=""),"",E52+F52)</x:f>
      </x:c>
      <x:c r="H52" s="93" t="n">
        <x:f>IFERROR(VLOOKUP(B52,'Collections'!$C$4:$L$18,10,FALSE),"")</x:f>
        <x:v>22.9</x:v>
      </x:c>
      <x:c r="I52" s="101" t="str">
        <x:f>IFERROR(H52/G52,"")</x:f>
      </x:c>
      <x:c r="J52" s="107" t="str"/>
      <x:c r="K52" s="79" t="str"/>
      <x:c r="L52" s="58" t="str"/>
      <x:c r="M52" s="58" t="str"/>
      <x:c r="N52" s="58" t="str"/>
      <x:c r="O52" s="58" t="str"/>
      <x:c r="P52" s="58" t="str"/>
      <x:c r="Q52" s="58" t="str">
        <x:v>Écarter tout personnage, logo ou visuel sous licence; contrôler l'originalité.</x:v>
      </x:c>
      <x:c r="R52" s="58" t="str">
        <x:v>À vérifier</x:v>
      </x:c>
      <x:c r="S52" s="58" t="str"/>
      <x:c r="T52" s="59" t="str">
        <x:v>En attente d'un export AliExpress/DSers vérifiable</x:v>
      </x:c>
    </x:row>
    <x:row r="53">
      <x:c r="A53" s="57" t="str">
        <x:v>chat-kawaii-5</x:v>
      </x:c>
      <x:c r="B53" s="58" t="str">
        <x:v>chat kawaii</x:v>
      </x:c>
      <x:c r="C53" s="58" t="str"/>
      <x:c r="D53" s="58" t="str"/>
      <x:c r="E53" s="93" t="str"/>
      <x:c r="F53" s="93" t="str"/>
      <x:c r="G53" s="93" t="str">
        <x:f>IF(OR(E53="",F53=""),"",E53+F53)</x:f>
      </x:c>
      <x:c r="H53" s="93" t="n">
        <x:f>IFERROR(VLOOKUP(B53,'Collections'!$C$4:$L$18,10,FALSE),"")</x:f>
        <x:v>22.9</x:v>
      </x:c>
      <x:c r="I53" s="101" t="str">
        <x:f>IFERROR(H53/G53,"")</x:f>
      </x:c>
      <x:c r="J53" s="107" t="str"/>
      <x:c r="K53" s="79" t="str"/>
      <x:c r="L53" s="58" t="str"/>
      <x:c r="M53" s="58" t="str"/>
      <x:c r="N53" s="58" t="str"/>
      <x:c r="O53" s="58" t="str"/>
      <x:c r="P53" s="58" t="str"/>
      <x:c r="Q53" s="58" t="str">
        <x:v>Écarter tout personnage, logo ou visuel sous licence; contrôler l'originalité.</x:v>
      </x:c>
      <x:c r="R53" s="58" t="str">
        <x:v>À vérifier</x:v>
      </x:c>
      <x:c r="S53" s="58" t="str"/>
      <x:c r="T53" s="59" t="str">
        <x:v>En attente d'un export AliExpress/DSers vérifiable</x:v>
      </x:c>
    </x:row>
    <x:row r="54">
      <x:c r="A54" s="57" t="str">
        <x:v>feutre-acrylique-1</x:v>
      </x:c>
      <x:c r="B54" s="58" t="str">
        <x:v>feutre acrylique</x:v>
      </x:c>
      <x:c r="C54" s="58" t="str"/>
      <x:c r="D54" s="58" t="str"/>
      <x:c r="E54" s="93" t="str"/>
      <x:c r="F54" s="93" t="str"/>
      <x:c r="G54" s="93" t="str">
        <x:f>IF(OR(E54="",F54=""),"",E54+F54)</x:f>
      </x:c>
      <x:c r="H54" s="93" t="n">
        <x:f>IFERROR(VLOOKUP(B54,'Collections'!$C$4:$L$18,10,FALSE),"")</x:f>
        <x:v>29.9</x:v>
      </x:c>
      <x:c r="I54" s="101" t="str">
        <x:f>IFERROR(H54/G54,"")</x:f>
      </x:c>
      <x:c r="J54" s="107" t="str"/>
      <x:c r="K54" s="79" t="str"/>
      <x:c r="L54" s="58" t="str"/>
      <x:c r="M54" s="58" t="str"/>
      <x:c r="N54" s="58" t="str"/>
      <x:c r="O54" s="58" t="str"/>
      <x:c r="P54" s="58" t="str"/>
      <x:c r="Q54" s="58" t="str">
        <x:v>Exiger documentation GPSR/REACH, étiquetage UE, fiche matière et tests d'encre.</x:v>
      </x:c>
      <x:c r="R54" s="58" t="str">
        <x:v>À vérifier</x:v>
      </x:c>
      <x:c r="S54" s="58" t="str"/>
      <x:c r="T54" s="59" t="str">
        <x:v>En attente d'un export AliExpress/DSers vérifiable</x:v>
      </x:c>
    </x:row>
    <x:row r="55">
      <x:c r="A55" s="57" t="str">
        <x:v>feutre-acrylique-2</x:v>
      </x:c>
      <x:c r="B55" s="58" t="str">
        <x:v>feutre acrylique</x:v>
      </x:c>
      <x:c r="C55" s="58" t="str"/>
      <x:c r="D55" s="58" t="str"/>
      <x:c r="E55" s="93" t="str"/>
      <x:c r="F55" s="93" t="str"/>
      <x:c r="G55" s="93" t="str">
        <x:f>IF(OR(E55="",F55=""),"",E55+F55)</x:f>
      </x:c>
      <x:c r="H55" s="93" t="n">
        <x:f>IFERROR(VLOOKUP(B55,'Collections'!$C$4:$L$18,10,FALSE),"")</x:f>
        <x:v>29.9</x:v>
      </x:c>
      <x:c r="I55" s="101" t="str">
        <x:f>IFERROR(H55/G55,"")</x:f>
      </x:c>
      <x:c r="J55" s="107" t="str"/>
      <x:c r="K55" s="79" t="str"/>
      <x:c r="L55" s="58" t="str"/>
      <x:c r="M55" s="58" t="str"/>
      <x:c r="N55" s="58" t="str"/>
      <x:c r="O55" s="58" t="str"/>
      <x:c r="P55" s="58" t="str"/>
      <x:c r="Q55" s="58" t="str">
        <x:v>Exiger documentation GPSR/REACH, étiquetage UE, fiche matière et tests d'encre.</x:v>
      </x:c>
      <x:c r="R55" s="58" t="str">
        <x:v>À vérifier</x:v>
      </x:c>
      <x:c r="S55" s="58" t="str"/>
      <x:c r="T55" s="59" t="str">
        <x:v>En attente d'un export AliExpress/DSers vérifiable</x:v>
      </x:c>
    </x:row>
    <x:row r="56">
      <x:c r="A56" s="57" t="str">
        <x:v>feutre-acrylique-3</x:v>
      </x:c>
      <x:c r="B56" s="58" t="str">
        <x:v>feutre acrylique</x:v>
      </x:c>
      <x:c r="C56" s="58" t="str"/>
      <x:c r="D56" s="58" t="str"/>
      <x:c r="E56" s="93" t="str"/>
      <x:c r="F56" s="93" t="str"/>
      <x:c r="G56" s="93" t="str">
        <x:f>IF(OR(E56="",F56=""),"",E56+F56)</x:f>
      </x:c>
      <x:c r="H56" s="93" t="n">
        <x:f>IFERROR(VLOOKUP(B56,'Collections'!$C$4:$L$18,10,FALSE),"")</x:f>
        <x:v>29.9</x:v>
      </x:c>
      <x:c r="I56" s="101" t="str">
        <x:f>IFERROR(H56/G56,"")</x:f>
      </x:c>
      <x:c r="J56" s="107" t="str"/>
      <x:c r="K56" s="79" t="str"/>
      <x:c r="L56" s="58" t="str"/>
      <x:c r="M56" s="58" t="str"/>
      <x:c r="N56" s="58" t="str"/>
      <x:c r="O56" s="58" t="str"/>
      <x:c r="P56" s="58" t="str"/>
      <x:c r="Q56" s="58" t="str">
        <x:v>Exiger documentation GPSR/REACH, étiquetage UE, fiche matière et tests d'encre.</x:v>
      </x:c>
      <x:c r="R56" s="58" t="str">
        <x:v>À vérifier</x:v>
      </x:c>
      <x:c r="S56" s="58" t="str"/>
      <x:c r="T56" s="59" t="str">
        <x:v>En attente d'un export AliExpress/DSers vérifiable</x:v>
      </x:c>
    </x:row>
    <x:row r="57">
      <x:c r="A57" s="57" t="str">
        <x:v>feutre-acrylique-4</x:v>
      </x:c>
      <x:c r="B57" s="58" t="str">
        <x:v>feutre acrylique</x:v>
      </x:c>
      <x:c r="C57" s="58" t="str"/>
      <x:c r="D57" s="58" t="str"/>
      <x:c r="E57" s="93" t="str"/>
      <x:c r="F57" s="93" t="str"/>
      <x:c r="G57" s="93" t="str">
        <x:f>IF(OR(E57="",F57=""),"",E57+F57)</x:f>
      </x:c>
      <x:c r="H57" s="93" t="n">
        <x:f>IFERROR(VLOOKUP(B57,'Collections'!$C$4:$L$18,10,FALSE),"")</x:f>
        <x:v>29.9</x:v>
      </x:c>
      <x:c r="I57" s="101" t="str">
        <x:f>IFERROR(H57/G57,"")</x:f>
      </x:c>
      <x:c r="J57" s="107" t="str"/>
      <x:c r="K57" s="79" t="str"/>
      <x:c r="L57" s="58" t="str"/>
      <x:c r="M57" s="58" t="str"/>
      <x:c r="N57" s="58" t="str"/>
      <x:c r="O57" s="58" t="str"/>
      <x:c r="P57" s="58" t="str"/>
      <x:c r="Q57" s="58" t="str">
        <x:v>Exiger documentation GPSR/REACH, étiquetage UE, fiche matière et tests d'encre.</x:v>
      </x:c>
      <x:c r="R57" s="58" t="str">
        <x:v>À vérifier</x:v>
      </x:c>
      <x:c r="S57" s="58" t="str"/>
      <x:c r="T57" s="59" t="str">
        <x:v>En attente d'un export AliExpress/DSers vérifiable</x:v>
      </x:c>
    </x:row>
    <x:row r="58">
      <x:c r="A58" s="57" t="str">
        <x:v>feutre-acrylique-5</x:v>
      </x:c>
      <x:c r="B58" s="58" t="str">
        <x:v>feutre acrylique</x:v>
      </x:c>
      <x:c r="C58" s="58" t="str"/>
      <x:c r="D58" s="58" t="str"/>
      <x:c r="E58" s="93" t="str"/>
      <x:c r="F58" s="93" t="str"/>
      <x:c r="G58" s="93" t="str">
        <x:f>IF(OR(E58="",F58=""),"",E58+F58)</x:f>
      </x:c>
      <x:c r="H58" s="93" t="n">
        <x:f>IFERROR(VLOOKUP(B58,'Collections'!$C$4:$L$18,10,FALSE),"")</x:f>
        <x:v>29.9</x:v>
      </x:c>
      <x:c r="I58" s="101" t="str">
        <x:f>IFERROR(H58/G58,"")</x:f>
      </x:c>
      <x:c r="J58" s="107" t="str"/>
      <x:c r="K58" s="79" t="str"/>
      <x:c r="L58" s="58" t="str"/>
      <x:c r="M58" s="58" t="str"/>
      <x:c r="N58" s="58" t="str"/>
      <x:c r="O58" s="58" t="str"/>
      <x:c r="P58" s="58" t="str"/>
      <x:c r="Q58" s="58" t="str">
        <x:v>Exiger documentation GPSR/REACH, étiquetage UE, fiche matière et tests d'encre.</x:v>
      </x:c>
      <x:c r="R58" s="58" t="str">
        <x:v>À vérifier</x:v>
      </x:c>
      <x:c r="S58" s="58" t="str"/>
      <x:c r="T58" s="59" t="str">
        <x:v>En attente d'un export AliExpress/DSers vérifiable</x:v>
      </x:c>
    </x:row>
    <x:row r="59">
      <x:c r="A59" s="57" t="str">
        <x:v>feutre-a-alcool-1</x:v>
      </x:c>
      <x:c r="B59" s="58" t="str">
        <x:v>feutre a alcool</x:v>
      </x:c>
      <x:c r="C59" s="58" t="str"/>
      <x:c r="D59" s="58" t="str"/>
      <x:c r="E59" s="93" t="str"/>
      <x:c r="F59" s="93" t="str"/>
      <x:c r="G59" s="93" t="str">
        <x:f>IF(OR(E59="",F59=""),"",E59+F59)</x:f>
      </x:c>
      <x:c r="H59" s="93" t="n">
        <x:f>IFERROR(VLOOKUP(B59,'Collections'!$C$4:$L$18,10,FALSE),"")</x:f>
        <x:v>34.9</x:v>
      </x:c>
      <x:c r="I59" s="101" t="str">
        <x:f>IFERROR(H59/G59,"")</x:f>
      </x:c>
      <x:c r="J59" s="107" t="str"/>
      <x:c r="K59" s="79" t="str"/>
      <x:c r="L59" s="58" t="str"/>
      <x:c r="M59" s="58" t="str"/>
      <x:c r="N59" s="58" t="str"/>
      <x:c r="O59" s="58" t="str"/>
      <x:c r="P59" s="58" t="str"/>
      <x:c r="Q59" s="58" t="str">
        <x:v>Exiger documentation GPSR/REACH, étiquetage UE, fiche matière et tests d'encre.</x:v>
      </x:c>
      <x:c r="R59" s="58" t="str">
        <x:v>À vérifier</x:v>
      </x:c>
      <x:c r="S59" s="58" t="str"/>
      <x:c r="T59" s="59" t="str">
        <x:v>En attente d'un export AliExpress/DSers vérifiable</x:v>
      </x:c>
    </x:row>
    <x:row r="60">
      <x:c r="A60" s="57" t="str">
        <x:v>feutre-a-alcool-2</x:v>
      </x:c>
      <x:c r="B60" s="58" t="str">
        <x:v>feutre a alcool</x:v>
      </x:c>
      <x:c r="C60" s="58" t="str"/>
      <x:c r="D60" s="58" t="str"/>
      <x:c r="E60" s="93" t="str"/>
      <x:c r="F60" s="93" t="str"/>
      <x:c r="G60" s="93" t="str">
        <x:f>IF(OR(E60="",F60=""),"",E60+F60)</x:f>
      </x:c>
      <x:c r="H60" s="93" t="n">
        <x:f>IFERROR(VLOOKUP(B60,'Collections'!$C$4:$L$18,10,FALSE),"")</x:f>
        <x:v>34.9</x:v>
      </x:c>
      <x:c r="I60" s="101" t="str">
        <x:f>IFERROR(H60/G60,"")</x:f>
      </x:c>
      <x:c r="J60" s="107" t="str"/>
      <x:c r="K60" s="79" t="str"/>
      <x:c r="L60" s="58" t="str"/>
      <x:c r="M60" s="58" t="str"/>
      <x:c r="N60" s="58" t="str"/>
      <x:c r="O60" s="58" t="str"/>
      <x:c r="P60" s="58" t="str"/>
      <x:c r="Q60" s="58" t="str">
        <x:v>Exiger documentation GPSR/REACH, étiquetage UE, fiche matière et tests d'encre.</x:v>
      </x:c>
      <x:c r="R60" s="58" t="str">
        <x:v>À vérifier</x:v>
      </x:c>
      <x:c r="S60" s="58" t="str"/>
      <x:c r="T60" s="59" t="str">
        <x:v>En attente d'un export AliExpress/DSers vérifiable</x:v>
      </x:c>
    </x:row>
    <x:row r="61">
      <x:c r="A61" s="57" t="str">
        <x:v>feutre-a-alcool-3</x:v>
      </x:c>
      <x:c r="B61" s="58" t="str">
        <x:v>feutre a alcool</x:v>
      </x:c>
      <x:c r="C61" s="58" t="str"/>
      <x:c r="D61" s="58" t="str"/>
      <x:c r="E61" s="93" t="str"/>
      <x:c r="F61" s="93" t="str"/>
      <x:c r="G61" s="93" t="str">
        <x:f>IF(OR(E61="",F61=""),"",E61+F61)</x:f>
      </x:c>
      <x:c r="H61" s="93" t="n">
        <x:f>IFERROR(VLOOKUP(B61,'Collections'!$C$4:$L$18,10,FALSE),"")</x:f>
        <x:v>34.9</x:v>
      </x:c>
      <x:c r="I61" s="101" t="str">
        <x:f>IFERROR(H61/G61,"")</x:f>
      </x:c>
      <x:c r="J61" s="107" t="str"/>
      <x:c r="K61" s="79" t="str"/>
      <x:c r="L61" s="58" t="str"/>
      <x:c r="M61" s="58" t="str"/>
      <x:c r="N61" s="58" t="str"/>
      <x:c r="O61" s="58" t="str"/>
      <x:c r="P61" s="58" t="str"/>
      <x:c r="Q61" s="58" t="str">
        <x:v>Exiger documentation GPSR/REACH, étiquetage UE, fiche matière et tests d'encre.</x:v>
      </x:c>
      <x:c r="R61" s="58" t="str">
        <x:v>À vérifier</x:v>
      </x:c>
      <x:c r="S61" s="58" t="str"/>
      <x:c r="T61" s="59" t="str">
        <x:v>En attente d'un export AliExpress/DSers vérifiable</x:v>
      </x:c>
    </x:row>
    <x:row r="62">
      <x:c r="A62" s="57" t="str">
        <x:v>feutre-a-alcool-4</x:v>
      </x:c>
      <x:c r="B62" s="58" t="str">
        <x:v>feutre a alcool</x:v>
      </x:c>
      <x:c r="C62" s="58" t="str"/>
      <x:c r="D62" s="58" t="str"/>
      <x:c r="E62" s="93" t="str"/>
      <x:c r="F62" s="93" t="str"/>
      <x:c r="G62" s="93" t="str">
        <x:f>IF(OR(E62="",F62=""),"",E62+F62)</x:f>
      </x:c>
      <x:c r="H62" s="93" t="n">
        <x:f>IFERROR(VLOOKUP(B62,'Collections'!$C$4:$L$18,10,FALSE),"")</x:f>
        <x:v>34.9</x:v>
      </x:c>
      <x:c r="I62" s="101" t="str">
        <x:f>IFERROR(H62/G62,"")</x:f>
      </x:c>
      <x:c r="J62" s="107" t="str"/>
      <x:c r="K62" s="79" t="str"/>
      <x:c r="L62" s="58" t="str"/>
      <x:c r="M62" s="58" t="str"/>
      <x:c r="N62" s="58" t="str"/>
      <x:c r="O62" s="58" t="str"/>
      <x:c r="P62" s="58" t="str"/>
      <x:c r="Q62" s="58" t="str">
        <x:v>Exiger documentation GPSR/REACH, étiquetage UE, fiche matière et tests d'encre.</x:v>
      </x:c>
      <x:c r="R62" s="58" t="str">
        <x:v>À vérifier</x:v>
      </x:c>
      <x:c r="S62" s="58" t="str"/>
      <x:c r="T62" s="59" t="str">
        <x:v>En attente d'un export AliExpress/DSers vérifiable</x:v>
      </x:c>
    </x:row>
    <x:row r="63">
      <x:c r="A63" s="57" t="str">
        <x:v>feutre-a-alcool-5</x:v>
      </x:c>
      <x:c r="B63" s="58" t="str">
        <x:v>feutre a alcool</x:v>
      </x:c>
      <x:c r="C63" s="58" t="str"/>
      <x:c r="D63" s="58" t="str"/>
      <x:c r="E63" s="93" t="str"/>
      <x:c r="F63" s="93" t="str"/>
      <x:c r="G63" s="93" t="str">
        <x:f>IF(OR(E63="",F63=""),"",E63+F63)</x:f>
      </x:c>
      <x:c r="H63" s="93" t="n">
        <x:f>IFERROR(VLOOKUP(B63,'Collections'!$C$4:$L$18,10,FALSE),"")</x:f>
        <x:v>34.9</x:v>
      </x:c>
      <x:c r="I63" s="101" t="str">
        <x:f>IFERROR(H63/G63,"")</x:f>
      </x:c>
      <x:c r="J63" s="107" t="str"/>
      <x:c r="K63" s="79" t="str"/>
      <x:c r="L63" s="58" t="str"/>
      <x:c r="M63" s="58" t="str"/>
      <x:c r="N63" s="58" t="str"/>
      <x:c r="O63" s="58" t="str"/>
      <x:c r="P63" s="58" t="str"/>
      <x:c r="Q63" s="58" t="str">
        <x:v>Exiger documentation GPSR/REACH, étiquetage UE, fiche matière et tests d'encre.</x:v>
      </x:c>
      <x:c r="R63" s="58" t="str">
        <x:v>À vérifier</x:v>
      </x:c>
      <x:c r="S63" s="58" t="str"/>
      <x:c r="T63" s="59" t="str">
        <x:v>En attente d'un export AliExpress/DSers vérifiable</x:v>
      </x:c>
    </x:row>
    <x:row r="64">
      <x:c r="A64" s="57" t="str">
        <x:v>trousse-kawaii-1</x:v>
      </x:c>
      <x:c r="B64" s="58" t="str">
        <x:v>trousse kawaii</x:v>
      </x:c>
      <x:c r="C64" s="58" t="str"/>
      <x:c r="D64" s="58" t="str"/>
      <x:c r="E64" s="93" t="str"/>
      <x:c r="F64" s="93" t="str"/>
      <x:c r="G64" s="93" t="str">
        <x:f>IF(OR(E64="",F64=""),"",E64+F64)</x:f>
      </x:c>
      <x:c r="H64" s="93" t="n">
        <x:f>IFERROR(VLOOKUP(B64,'Collections'!$C$4:$L$18,10,FALSE),"")</x:f>
        <x:v>19.9</x:v>
      </x:c>
      <x:c r="I64" s="101" t="str">
        <x:f>IFERROR(H64/G64,"")</x:f>
      </x:c>
      <x:c r="J64" s="107" t="str"/>
      <x:c r="K64" s="79" t="str"/>
      <x:c r="L64" s="58" t="str"/>
      <x:c r="M64" s="58" t="str"/>
      <x:c r="N64" s="58" t="str"/>
      <x:c r="O64" s="58" t="str"/>
      <x:c r="P64" s="58" t="str"/>
      <x:c r="Q64" s="58" t="str">
        <x:v>Contrôler droits des visuels, qualité réelle, emballage, délais et cohérence des variantes.</x:v>
      </x:c>
      <x:c r="R64" s="58" t="str">
        <x:v>À vérifier</x:v>
      </x:c>
      <x:c r="S64" s="58" t="str"/>
      <x:c r="T64" s="59" t="str">
        <x:v>En attente d'un export AliExpress/DSers vérifiable</x:v>
      </x:c>
    </x:row>
    <x:row r="65">
      <x:c r="A65" s="57" t="str">
        <x:v>trousse-kawaii-2</x:v>
      </x:c>
      <x:c r="B65" s="58" t="str">
        <x:v>trousse kawaii</x:v>
      </x:c>
      <x:c r="C65" s="58" t="str"/>
      <x:c r="D65" s="58" t="str"/>
      <x:c r="E65" s="93" t="str"/>
      <x:c r="F65" s="93" t="str"/>
      <x:c r="G65" s="93" t="str">
        <x:f>IF(OR(E65="",F65=""),"",E65+F65)</x:f>
      </x:c>
      <x:c r="H65" s="93" t="n">
        <x:f>IFERROR(VLOOKUP(B65,'Collections'!$C$4:$L$18,10,FALSE),"")</x:f>
        <x:v>19.9</x:v>
      </x:c>
      <x:c r="I65" s="101" t="str">
        <x:f>IFERROR(H65/G65,"")</x:f>
      </x:c>
      <x:c r="J65" s="107" t="str"/>
      <x:c r="K65" s="79" t="str"/>
      <x:c r="L65" s="58" t="str"/>
      <x:c r="M65" s="58" t="str"/>
      <x:c r="N65" s="58" t="str"/>
      <x:c r="O65" s="58" t="str"/>
      <x:c r="P65" s="58" t="str"/>
      <x:c r="Q65" s="58" t="str">
        <x:v>Contrôler droits des visuels, qualité réelle, emballage, délais et cohérence des variantes.</x:v>
      </x:c>
      <x:c r="R65" s="58" t="str">
        <x:v>À vérifier</x:v>
      </x:c>
      <x:c r="S65" s="58" t="str"/>
      <x:c r="T65" s="59" t="str">
        <x:v>En attente d'un export AliExpress/DSers vérifiable</x:v>
      </x:c>
    </x:row>
    <x:row r="66">
      <x:c r="A66" s="57" t="str">
        <x:v>trousse-kawaii-3</x:v>
      </x:c>
      <x:c r="B66" s="58" t="str">
        <x:v>trousse kawaii</x:v>
      </x:c>
      <x:c r="C66" s="58" t="str"/>
      <x:c r="D66" s="58" t="str"/>
      <x:c r="E66" s="93" t="str"/>
      <x:c r="F66" s="93" t="str"/>
      <x:c r="G66" s="93" t="str">
        <x:f>IF(OR(E66="",F66=""),"",E66+F66)</x:f>
      </x:c>
      <x:c r="H66" s="93" t="n">
        <x:f>IFERROR(VLOOKUP(B66,'Collections'!$C$4:$L$18,10,FALSE),"")</x:f>
        <x:v>19.9</x:v>
      </x:c>
      <x:c r="I66" s="101" t="str">
        <x:f>IFERROR(H66/G66,"")</x:f>
      </x:c>
      <x:c r="J66" s="107" t="str"/>
      <x:c r="K66" s="79" t="str"/>
      <x:c r="L66" s="58" t="str"/>
      <x:c r="M66" s="58" t="str"/>
      <x:c r="N66" s="58" t="str"/>
      <x:c r="O66" s="58" t="str"/>
      <x:c r="P66" s="58" t="str"/>
      <x:c r="Q66" s="58" t="str">
        <x:v>Contrôler droits des visuels, qualité réelle, emballage, délais et cohérence des variantes.</x:v>
      </x:c>
      <x:c r="R66" s="58" t="str">
        <x:v>À vérifier</x:v>
      </x:c>
      <x:c r="S66" s="58" t="str"/>
      <x:c r="T66" s="59" t="str">
        <x:v>En attente d'un export AliExpress/DSers vérifiable</x:v>
      </x:c>
    </x:row>
    <x:row r="67">
      <x:c r="A67" s="57" t="str">
        <x:v>trousse-kawaii-4</x:v>
      </x:c>
      <x:c r="B67" s="58" t="str">
        <x:v>trousse kawaii</x:v>
      </x:c>
      <x:c r="C67" s="58" t="str"/>
      <x:c r="D67" s="58" t="str"/>
      <x:c r="E67" s="93" t="str"/>
      <x:c r="F67" s="93" t="str"/>
      <x:c r="G67" s="93" t="str">
        <x:f>IF(OR(E67="",F67=""),"",E67+F67)</x:f>
      </x:c>
      <x:c r="H67" s="93" t="n">
        <x:f>IFERROR(VLOOKUP(B67,'Collections'!$C$4:$L$18,10,FALSE),"")</x:f>
        <x:v>19.9</x:v>
      </x:c>
      <x:c r="I67" s="101" t="str">
        <x:f>IFERROR(H67/G67,"")</x:f>
      </x:c>
      <x:c r="J67" s="107" t="str"/>
      <x:c r="K67" s="79" t="str"/>
      <x:c r="L67" s="58" t="str"/>
      <x:c r="M67" s="58" t="str"/>
      <x:c r="N67" s="58" t="str"/>
      <x:c r="O67" s="58" t="str"/>
      <x:c r="P67" s="58" t="str"/>
      <x:c r="Q67" s="58" t="str">
        <x:v>Contrôler droits des visuels, qualité réelle, emballage, délais et cohérence des variantes.</x:v>
      </x:c>
      <x:c r="R67" s="58" t="str">
        <x:v>À vérifier</x:v>
      </x:c>
      <x:c r="S67" s="58" t="str"/>
      <x:c r="T67" s="59" t="str">
        <x:v>En attente d'un export AliExpress/DSers vérifiable</x:v>
      </x:c>
    </x:row>
    <x:row r="68">
      <x:c r="A68" s="57" t="str">
        <x:v>trousse-kawaii-5</x:v>
      </x:c>
      <x:c r="B68" s="58" t="str">
        <x:v>trousse kawaii</x:v>
      </x:c>
      <x:c r="C68" s="58" t="str"/>
      <x:c r="D68" s="58" t="str"/>
      <x:c r="E68" s="93" t="str"/>
      <x:c r="F68" s="93" t="str"/>
      <x:c r="G68" s="93" t="str">
        <x:f>IF(OR(E68="",F68=""),"",E68+F68)</x:f>
      </x:c>
      <x:c r="H68" s="93" t="n">
        <x:f>IFERROR(VLOOKUP(B68,'Collections'!$C$4:$L$18,10,FALSE),"")</x:f>
        <x:v>19.9</x:v>
      </x:c>
      <x:c r="I68" s="101" t="str">
        <x:f>IFERROR(H68/G68,"")</x:f>
      </x:c>
      <x:c r="J68" s="107" t="str"/>
      <x:c r="K68" s="79" t="str"/>
      <x:c r="L68" s="58" t="str"/>
      <x:c r="M68" s="58" t="str"/>
      <x:c r="N68" s="58" t="str"/>
      <x:c r="O68" s="58" t="str"/>
      <x:c r="P68" s="58" t="str"/>
      <x:c r="Q68" s="58" t="str">
        <x:v>Contrôler droits des visuels, qualité réelle, emballage, délais et cohérence des variantes.</x:v>
      </x:c>
      <x:c r="R68" s="58" t="str">
        <x:v>À vérifier</x:v>
      </x:c>
      <x:c r="S68" s="58" t="str"/>
      <x:c r="T68" s="59" t="str">
        <x:v>En attente d'un export AliExpress/DSers vérifiable</x:v>
      </x:c>
    </x:row>
    <x:row r="69">
      <x:c r="A69" s="57" t="str">
        <x:v>marque-page-personnalise-1</x:v>
      </x:c>
      <x:c r="B69" s="58" t="str">
        <x:v>marque page personnalisé</x:v>
      </x:c>
      <x:c r="C69" s="58" t="str"/>
      <x:c r="D69" s="58" t="str"/>
      <x:c r="E69" s="93" t="str"/>
      <x:c r="F69" s="93" t="str"/>
      <x:c r="G69" s="93" t="str">
        <x:f>IF(OR(E69="",F69=""),"",E69+F69)</x:f>
      </x:c>
      <x:c r="H69" s="93" t="n">
        <x:f>IFERROR(VLOOKUP(B69,'Collections'!$C$4:$L$18,10,FALSE),"")</x:f>
        <x:v>14.9</x:v>
      </x:c>
      <x:c r="I69" s="101" t="str">
        <x:f>IFERROR(H69/G69,"")</x:f>
      </x:c>
      <x:c r="J69" s="107" t="str"/>
      <x:c r="K69" s="79" t="str"/>
      <x:c r="L69" s="58" t="str"/>
      <x:c r="M69" s="58" t="str"/>
      <x:c r="N69" s="58" t="str"/>
      <x:c r="O69" s="58" t="str"/>
      <x:c r="P69" s="58" t="str"/>
      <x:c r="Q69" s="58" t="str">
        <x:v>Vérifier BAT, droits sur les images, MOQ, délais de personnalisation et retours.</x:v>
      </x:c>
      <x:c r="R69" s="58" t="str">
        <x:v>À vérifier</x:v>
      </x:c>
      <x:c r="S69" s="58" t="str"/>
      <x:c r="T69" s="59" t="str">
        <x:v>En attente d'un export AliExpress/DSers vérifiable</x:v>
      </x:c>
    </x:row>
    <x:row r="70">
      <x:c r="A70" s="57" t="str">
        <x:v>marque-page-personnalise-2</x:v>
      </x:c>
      <x:c r="B70" s="58" t="str">
        <x:v>marque page personnalisé</x:v>
      </x:c>
      <x:c r="C70" s="58" t="str"/>
      <x:c r="D70" s="58" t="str"/>
      <x:c r="E70" s="93" t="str"/>
      <x:c r="F70" s="93" t="str"/>
      <x:c r="G70" s="93" t="str">
        <x:f>IF(OR(E70="",F70=""),"",E70+F70)</x:f>
      </x:c>
      <x:c r="H70" s="93" t="n">
        <x:f>IFERROR(VLOOKUP(B70,'Collections'!$C$4:$L$18,10,FALSE),"")</x:f>
        <x:v>14.9</x:v>
      </x:c>
      <x:c r="I70" s="101" t="str">
        <x:f>IFERROR(H70/G70,"")</x:f>
      </x:c>
      <x:c r="J70" s="107" t="str"/>
      <x:c r="K70" s="79" t="str"/>
      <x:c r="L70" s="58" t="str"/>
      <x:c r="M70" s="58" t="str"/>
      <x:c r="N70" s="58" t="str"/>
      <x:c r="O70" s="58" t="str"/>
      <x:c r="P70" s="58" t="str"/>
      <x:c r="Q70" s="58" t="str">
        <x:v>Vérifier BAT, droits sur les images, MOQ, délais de personnalisation et retours.</x:v>
      </x:c>
      <x:c r="R70" s="58" t="str">
        <x:v>À vérifier</x:v>
      </x:c>
      <x:c r="S70" s="58" t="str"/>
      <x:c r="T70" s="59" t="str">
        <x:v>En attente d'un export AliExpress/DSers vérifiable</x:v>
      </x:c>
    </x:row>
    <x:row r="71">
      <x:c r="A71" s="57" t="str">
        <x:v>marque-page-personnalise-3</x:v>
      </x:c>
      <x:c r="B71" s="58" t="str">
        <x:v>marque page personnalisé</x:v>
      </x:c>
      <x:c r="C71" s="58" t="str"/>
      <x:c r="D71" s="58" t="str"/>
      <x:c r="E71" s="93" t="str"/>
      <x:c r="F71" s="93" t="str"/>
      <x:c r="G71" s="93" t="str">
        <x:f>IF(OR(E71="",F71=""),"",E71+F71)</x:f>
      </x:c>
      <x:c r="H71" s="93" t="n">
        <x:f>IFERROR(VLOOKUP(B71,'Collections'!$C$4:$L$18,10,FALSE),"")</x:f>
        <x:v>14.9</x:v>
      </x:c>
      <x:c r="I71" s="101" t="str">
        <x:f>IFERROR(H71/G71,"")</x:f>
      </x:c>
      <x:c r="J71" s="107" t="str"/>
      <x:c r="K71" s="79" t="str"/>
      <x:c r="L71" s="58" t="str"/>
      <x:c r="M71" s="58" t="str"/>
      <x:c r="N71" s="58" t="str"/>
      <x:c r="O71" s="58" t="str"/>
      <x:c r="P71" s="58" t="str"/>
      <x:c r="Q71" s="58" t="str">
        <x:v>Vérifier BAT, droits sur les images, MOQ, délais de personnalisation et retours.</x:v>
      </x:c>
      <x:c r="R71" s="58" t="str">
        <x:v>À vérifier</x:v>
      </x:c>
      <x:c r="S71" s="58" t="str"/>
      <x:c r="T71" s="59" t="str">
        <x:v>En attente d'un export AliExpress/DSers vérifiable</x:v>
      </x:c>
    </x:row>
    <x:row r="72">
      <x:c r="A72" s="57" t="str">
        <x:v>marque-page-personnalise-4</x:v>
      </x:c>
      <x:c r="B72" s="58" t="str">
        <x:v>marque page personnalisé</x:v>
      </x:c>
      <x:c r="C72" s="58" t="str"/>
      <x:c r="D72" s="58" t="str"/>
      <x:c r="E72" s="93" t="str"/>
      <x:c r="F72" s="93" t="str"/>
      <x:c r="G72" s="93" t="str">
        <x:f>IF(OR(E72="",F72=""),"",E72+F72)</x:f>
      </x:c>
      <x:c r="H72" s="93" t="n">
        <x:f>IFERROR(VLOOKUP(B72,'Collections'!$C$4:$L$18,10,FALSE),"")</x:f>
        <x:v>14.9</x:v>
      </x:c>
      <x:c r="I72" s="101" t="str">
        <x:f>IFERROR(H72/G72,"")</x:f>
      </x:c>
      <x:c r="J72" s="107" t="str"/>
      <x:c r="K72" s="79" t="str"/>
      <x:c r="L72" s="58" t="str"/>
      <x:c r="M72" s="58" t="str"/>
      <x:c r="N72" s="58" t="str"/>
      <x:c r="O72" s="58" t="str"/>
      <x:c r="P72" s="58" t="str"/>
      <x:c r="Q72" s="58" t="str">
        <x:v>Vérifier BAT, droits sur les images, MOQ, délais de personnalisation et retours.</x:v>
      </x:c>
      <x:c r="R72" s="58" t="str">
        <x:v>À vérifier</x:v>
      </x:c>
      <x:c r="S72" s="58" t="str"/>
      <x:c r="T72" s="59" t="str">
        <x:v>En attente d'un export AliExpress/DSers vérifiable</x:v>
      </x:c>
    </x:row>
    <x:row r="73">
      <x:c r="A73" s="57" t="str">
        <x:v>marque-page-personnalise-5</x:v>
      </x:c>
      <x:c r="B73" s="58" t="str">
        <x:v>marque page personnalisé</x:v>
      </x:c>
      <x:c r="C73" s="58" t="str"/>
      <x:c r="D73" s="58" t="str"/>
      <x:c r="E73" s="93" t="str"/>
      <x:c r="F73" s="93" t="str"/>
      <x:c r="G73" s="93" t="str">
        <x:f>IF(OR(E73="",F73=""),"",E73+F73)</x:f>
      </x:c>
      <x:c r="H73" s="93" t="n">
        <x:f>IFERROR(VLOOKUP(B73,'Collections'!$C$4:$L$18,10,FALSE),"")</x:f>
        <x:v>14.9</x:v>
      </x:c>
      <x:c r="I73" s="101" t="str">
        <x:f>IFERROR(H73/G73,"")</x:f>
      </x:c>
      <x:c r="J73" s="107" t="str"/>
      <x:c r="K73" s="79" t="str"/>
      <x:c r="L73" s="58" t="str"/>
      <x:c r="M73" s="58" t="str"/>
      <x:c r="N73" s="58" t="str"/>
      <x:c r="O73" s="58" t="str"/>
      <x:c r="P73" s="58" t="str"/>
      <x:c r="Q73" s="58" t="str">
        <x:v>Vérifier BAT, droits sur les images, MOQ, délais de personnalisation et retours.</x:v>
      </x:c>
      <x:c r="R73" s="58" t="str">
        <x:v>À vérifier</x:v>
      </x:c>
      <x:c r="S73" s="58" t="str"/>
      <x:c r="T73" s="59" t="str">
        <x:v>En attente d'un export AliExpress/DSers vérifiable</x:v>
      </x:c>
    </x:row>
    <x:row r="74">
      <x:c r="A74" s="57" t="str">
        <x:v>diamond-painting-personnalise-1</x:v>
      </x:c>
      <x:c r="B74" s="58" t="str">
        <x:v>diamond painting personnalisé</x:v>
      </x:c>
      <x:c r="C74" s="58" t="str"/>
      <x:c r="D74" s="58" t="str"/>
      <x:c r="E74" s="93" t="str"/>
      <x:c r="F74" s="93" t="str"/>
      <x:c r="G74" s="93" t="str">
        <x:f>IF(OR(E74="",F74=""),"",E74+F74)</x:f>
      </x:c>
      <x:c r="H74" s="93" t="n">
        <x:f>IFERROR(VLOOKUP(B74,'Collections'!$C$4:$L$18,10,FALSE),"")</x:f>
        <x:v>34.9</x:v>
      </x:c>
      <x:c r="I74" s="101" t="str">
        <x:f>IFERROR(H74/G74,"")</x:f>
      </x:c>
      <x:c r="J74" s="107" t="str"/>
      <x:c r="K74" s="79" t="str"/>
      <x:c r="L74" s="58" t="str"/>
      <x:c r="M74" s="58" t="str"/>
      <x:c r="N74" s="58" t="str"/>
      <x:c r="O74" s="58" t="str"/>
      <x:c r="P74" s="58" t="str"/>
      <x:c r="Q74" s="58" t="str">
        <x:v>Vérifier BAT, droits sur les images, MOQ, délais de personnalisation et retours.</x:v>
      </x:c>
      <x:c r="R74" s="58" t="str">
        <x:v>À vérifier</x:v>
      </x:c>
      <x:c r="S74" s="58" t="str"/>
      <x:c r="T74" s="59" t="str">
        <x:v>En attente d'un export AliExpress/DSers vérifiable</x:v>
      </x:c>
    </x:row>
    <x:row r="75">
      <x:c r="A75" s="57" t="str">
        <x:v>diamond-painting-personnalise-2</x:v>
      </x:c>
      <x:c r="B75" s="58" t="str">
        <x:v>diamond painting personnalisé</x:v>
      </x:c>
      <x:c r="C75" s="58" t="str"/>
      <x:c r="D75" s="58" t="str"/>
      <x:c r="E75" s="93" t="str"/>
      <x:c r="F75" s="93" t="str"/>
      <x:c r="G75" s="93" t="str">
        <x:f>IF(OR(E75="",F75=""),"",E75+F75)</x:f>
      </x:c>
      <x:c r="H75" s="93" t="n">
        <x:f>IFERROR(VLOOKUP(B75,'Collections'!$C$4:$L$18,10,FALSE),"")</x:f>
        <x:v>34.9</x:v>
      </x:c>
      <x:c r="I75" s="101" t="str">
        <x:f>IFERROR(H75/G75,"")</x:f>
      </x:c>
      <x:c r="J75" s="107" t="str"/>
      <x:c r="K75" s="79" t="str"/>
      <x:c r="L75" s="58" t="str"/>
      <x:c r="M75" s="58" t="str"/>
      <x:c r="N75" s="58" t="str"/>
      <x:c r="O75" s="58" t="str"/>
      <x:c r="P75" s="58" t="str"/>
      <x:c r="Q75" s="58" t="str">
        <x:v>Vérifier BAT, droits sur les images, MOQ, délais de personnalisation et retours.</x:v>
      </x:c>
      <x:c r="R75" s="58" t="str">
        <x:v>À vérifier</x:v>
      </x:c>
      <x:c r="S75" s="58" t="str"/>
      <x:c r="T75" s="59" t="str">
        <x:v>En attente d'un export AliExpress/DSers vérifiable</x:v>
      </x:c>
    </x:row>
    <x:row r="76">
      <x:c r="A76" s="57" t="str">
        <x:v>diamond-painting-personnalise-3</x:v>
      </x:c>
      <x:c r="B76" s="58" t="str">
        <x:v>diamond painting personnalisé</x:v>
      </x:c>
      <x:c r="C76" s="58" t="str"/>
      <x:c r="D76" s="58" t="str"/>
      <x:c r="E76" s="93" t="str"/>
      <x:c r="F76" s="93" t="str"/>
      <x:c r="G76" s="93" t="str">
        <x:f>IF(OR(E76="",F76=""),"",E76+F76)</x:f>
      </x:c>
      <x:c r="H76" s="93" t="n">
        <x:f>IFERROR(VLOOKUP(B76,'Collections'!$C$4:$L$18,10,FALSE),"")</x:f>
        <x:v>34.9</x:v>
      </x:c>
      <x:c r="I76" s="101" t="str">
        <x:f>IFERROR(H76/G76,"")</x:f>
      </x:c>
      <x:c r="J76" s="107" t="str"/>
      <x:c r="K76" s="79" t="str"/>
      <x:c r="L76" s="58" t="str"/>
      <x:c r="M76" s="58" t="str"/>
      <x:c r="N76" s="58" t="str"/>
      <x:c r="O76" s="58" t="str"/>
      <x:c r="P76" s="58" t="str"/>
      <x:c r="Q76" s="58" t="str">
        <x:v>Vérifier BAT, droits sur les images, MOQ, délais de personnalisation et retours.</x:v>
      </x:c>
      <x:c r="R76" s="58" t="str">
        <x:v>À vérifier</x:v>
      </x:c>
      <x:c r="S76" s="58" t="str"/>
      <x:c r="T76" s="59" t="str">
        <x:v>En attente d'un export AliExpress/DSers vérifiable</x:v>
      </x:c>
    </x:row>
    <x:row r="77">
      <x:c r="A77" s="57" t="str">
        <x:v>diamond-painting-personnalise-4</x:v>
      </x:c>
      <x:c r="B77" s="58" t="str">
        <x:v>diamond painting personnalisé</x:v>
      </x:c>
      <x:c r="C77" s="58" t="str"/>
      <x:c r="D77" s="58" t="str"/>
      <x:c r="E77" s="93" t="str"/>
      <x:c r="F77" s="93" t="str"/>
      <x:c r="G77" s="93" t="str">
        <x:f>IF(OR(E77="",F77=""),"",E77+F77)</x:f>
      </x:c>
      <x:c r="H77" s="93" t="n">
        <x:f>IFERROR(VLOOKUP(B77,'Collections'!$C$4:$L$18,10,FALSE),"")</x:f>
        <x:v>34.9</x:v>
      </x:c>
      <x:c r="I77" s="101" t="str">
        <x:f>IFERROR(H77/G77,"")</x:f>
      </x:c>
      <x:c r="J77" s="107" t="str"/>
      <x:c r="K77" s="79" t="str"/>
      <x:c r="L77" s="58" t="str"/>
      <x:c r="M77" s="58" t="str"/>
      <x:c r="N77" s="58" t="str"/>
      <x:c r="O77" s="58" t="str"/>
      <x:c r="P77" s="58" t="str"/>
      <x:c r="Q77" s="58" t="str">
        <x:v>Vérifier BAT, droits sur les images, MOQ, délais de personnalisation et retours.</x:v>
      </x:c>
      <x:c r="R77" s="58" t="str">
        <x:v>À vérifier</x:v>
      </x:c>
      <x:c r="S77" s="58" t="str"/>
      <x:c r="T77" s="59" t="str">
        <x:v>En attente d'un export AliExpress/DSers vérifiable</x:v>
      </x:c>
    </x:row>
    <x:row r="78">
      <x:c r="A78" s="60" t="str">
        <x:v>diamond-painting-personnalise-5</x:v>
      </x:c>
      <x:c r="B78" s="61" t="str">
        <x:v>diamond painting personnalisé</x:v>
      </x:c>
      <x:c r="C78" s="61" t="str"/>
      <x:c r="D78" s="61" t="str"/>
      <x:c r="E78" s="94" t="str"/>
      <x:c r="F78" s="94" t="str"/>
      <x:c r="G78" s="94" t="str">
        <x:f>IF(OR(E78="",F78=""),"",E78+F78)</x:f>
      </x:c>
      <x:c r="H78" s="94" t="n">
        <x:f>IFERROR(VLOOKUP(B78,'Collections'!$C$4:$L$18,10,FALSE),"")</x:f>
        <x:v>34.9</x:v>
      </x:c>
      <x:c r="I78" s="102" t="str">
        <x:f>IFERROR(H78/G78,"")</x:f>
      </x:c>
      <x:c r="J78" s="108" t="str"/>
      <x:c r="K78" s="80" t="str"/>
      <x:c r="L78" s="61" t="str"/>
      <x:c r="M78" s="61" t="str"/>
      <x:c r="N78" s="61" t="str"/>
      <x:c r="O78" s="61" t="str"/>
      <x:c r="P78" s="61" t="str"/>
      <x:c r="Q78" s="61" t="str">
        <x:v>Vérifier BAT, droits sur les images, MOQ, délais de personnalisation et retours.</x:v>
      </x:c>
      <x:c r="R78" s="61" t="str">
        <x:v>À vérifier</x:v>
      </x:c>
      <x:c r="S78" s="61" t="str"/>
      <x:c r="T78" s="62" t="str">
        <x:v>En attente d'un export AliExpress/DSers vérifiable</x:v>
      </x:c>
    </x:row>
  </x:sheetData>
  <x:mergeCells>
    <x:mergeCell ref="A1:T1"/>
    <x:mergeCell ref="A2:T2"/>
  </x:mergeCells>
  <x:dataValidations count="1">
    <x:dataValidation type="list" sqref="R4:R78">
      <x:formula1>"À vérifier,Retenir,Test,Écarter"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80" hidden="0" customWidth="1"/>
    <x:col min="10" max="10" width="20" hidden="0" customWidth="1"/>
  </x:cols>
  <x:sheetData>
    <x:row r="1" ht="34" customHeight="1">
      <x:c r="A1" s="133" t="str">
        <x:v>Donnees source Ahrefs utilisees</x:v>
      </x:c>
      <x:c r="B1" s="133" t="str">
        <x:v>Donnees source Ahrefs utilisees</x:v>
      </x:c>
      <x:c r="C1" s="133" t="str">
        <x:v>Donnees source Ahrefs utilisees</x:v>
      </x:c>
      <x:c r="D1" s="133" t="str">
        <x:v>Donnees source Ahrefs utilisees</x:v>
      </x:c>
      <x:c r="E1" s="133" t="str">
        <x:v>Donnees source Ahrefs utilisees</x:v>
      </x:c>
      <x:c r="F1" s="133" t="str">
        <x:v>Donnees source Ahrefs utilisees</x:v>
      </x:c>
      <x:c r="G1" s="133" t="str">
        <x:v>Donnees source Ahrefs utilisees</x:v>
      </x:c>
      <x:c r="H1" s="133" t="str">
        <x:v>Donnees source Ahrefs utilisees</x:v>
      </x:c>
      <x:c r="I1" s="133" t="str">
        <x:v>Donnees source Ahrefs utilisees</x:v>
      </x:c>
      <x:c r="J1" s="133" t="str">
        <x:v>Donnees source Ahrefs utilisees</x:v>
      </x:c>
    </x:row>
    <x:row r="2">
      <x:c r="A2" s="58"/>
      <x:c r="B2" s="58"/>
      <x:c r="C2" s="58"/>
      <x:c r="D2" s="58"/>
      <x:c r="E2" s="58"/>
      <x:c r="F2" s="58"/>
      <x:c r="G2" s="58"/>
      <x:c r="H2" s="58"/>
      <x:c r="I2" s="58"/>
      <x:c r="J2" s="58"/>
    </x:row>
    <x:row r="3">
      <x:c r="A3" s="135" t="str">
        <x:v>Keyword</x:v>
      </x:c>
      <x:c r="B3" s="136" t="str">
        <x:v>Volume</x:v>
      </x:c>
      <x:c r="C3" s="136" t="str">
        <x:v>KD</x:v>
      </x:c>
      <x:c r="D3" s="136" t="str">
        <x:v>CPC</x:v>
      </x:c>
      <x:c r="E3" s="136" t="str">
        <x:v>Informational</x:v>
      </x:c>
      <x:c r="F3" s="136" t="str">
        <x:v>Commercial</x:v>
      </x:c>
      <x:c r="G3" s="136" t="str">
        <x:v>Transactional</x:v>
      </x:c>
      <x:c r="H3" s="136" t="str">
        <x:v>Current position</x:v>
      </x:c>
      <x:c r="I3" s="136" t="str">
        <x:v>Current URL</x:v>
      </x:c>
      <x:c r="J3" s="137" t="str">
        <x:v>Utilise comme collection</x:v>
      </x:c>
    </x:row>
    <x:row r="4">
      <x:c r="A4" s="54" t="str">
        <x:v>coloriage kawaii</x:v>
      </x:c>
      <x:c r="B4" s="78" t="n">
        <x:v>38000</x:v>
      </x:c>
      <x:c r="C4" s="86" t="n">
        <x:v>1</x:v>
      </x:c>
      <x:c r="D4" s="92" t="n">
        <x:v>0.06</x:v>
      </x:c>
      <x:c r="E4" s="116" t="b">
        <x:v>1</x:v>
      </x:c>
      <x:c r="F4" s="116" t="b">
        <x:v>1</x:v>
      </x:c>
      <x:c r="G4" s="116" t="b">
        <x:v>1</x:v>
      </x:c>
      <x:c r="H4" s="55" t="str">
        <x:v>1</x:v>
      </x:c>
      <x:c r="I4" s="55" t="str">
        <x:v>https://www.amazon.fr/Livre-Coloriage-Kawaii-Festivit%C3%A9s-C%C3%A9l%C3%A9brations/dp/B0CNWWTSY2</x:v>
      </x:c>
      <x:c r="J4" s="56" t="str">
        <x:v>Oui</x:v>
      </x:c>
    </x:row>
    <x:row r="5">
      <x:c r="A5" s="57" t="str">
        <x:v>coloriage adulte</x:v>
      </x:c>
      <x:c r="B5" s="79" t="n">
        <x:v>15000</x:v>
      </x:c>
      <x:c r="C5" s="87" t="n">
        <x:v>0</x:v>
      </x:c>
      <x:c r="D5" s="93" t="n">
        <x:v>0.1</x:v>
      </x:c>
      <x:c r="E5" s="117" t="b">
        <x:v>1</x:v>
      </x:c>
      <x:c r="F5" s="117" t="b">
        <x:v>1</x:v>
      </x:c>
      <x:c r="G5" s="117" t="b">
        <x:v>0</x:v>
      </x:c>
      <x:c r="H5" s="58" t="str"/>
      <x:c r="I5" s="58" t="str"/>
      <x:c r="J5" s="59" t="str">
        <x:v>Oui</x:v>
      </x:c>
    </x:row>
    <x:row r="6">
      <x:c r="A6" s="57" t="str">
        <x:v>coloriage magique</x:v>
      </x:c>
      <x:c r="B6" s="79" t="n">
        <x:v>13000</x:v>
      </x:c>
      <x:c r="C6" s="87" t="n">
        <x:v>3</x:v>
      </x:c>
      <x:c r="D6" s="93" t="n">
        <x:v>0.08</x:v>
      </x:c>
      <x:c r="E6" s="117" t="b">
        <x:v>1</x:v>
      </x:c>
      <x:c r="F6" s="117" t="b">
        <x:v>1</x:v>
      </x:c>
      <x:c r="G6" s="117" t="b">
        <x:v>0</x:v>
      </x:c>
      <x:c r="H6" s="58" t="str">
        <x:v>6</x:v>
      </x:c>
      <x:c r="I6" s="58" t="str">
        <x:v>https://www.amazon.fr/coloriage-magique/s?k=coloriage+magique</x:v>
      </x:c>
      <x:c r="J6" s="59" t="str">
        <x:v>Oui</x:v>
      </x:c>
    </x:row>
    <x:row r="7">
      <x:c r="A7" s="57" t="str">
        <x:v>coloriage mystere</x:v>
      </x:c>
      <x:c r="B7" s="79" t="n">
        <x:v>12000</x:v>
      </x:c>
      <x:c r="C7" s="87" t="n">
        <x:v>0</x:v>
      </x:c>
      <x:c r="D7" s="93" t="n">
        <x:v>0.09</x:v>
      </x:c>
      <x:c r="E7" s="117" t="b">
        <x:v>1</x:v>
      </x:c>
      <x:c r="F7" s="117" t="b">
        <x:v>1</x:v>
      </x:c>
      <x:c r="G7" s="117" t="b">
        <x:v>1</x:v>
      </x:c>
      <x:c r="H7" s="58" t="str">
        <x:v>3</x:v>
      </x:c>
      <x:c r="I7" s="58" t="str">
        <x:v>https://www.amazon.fr/coloriage-mystere/s?k=coloriage+mystere</x:v>
      </x:c>
      <x:c r="J7" s="59" t="str">
        <x:v>Oui</x:v>
      </x:c>
    </x:row>
    <x:row r="8">
      <x:c r="A8" s="57" t="str">
        <x:v>coloriage cosy</x:v>
      </x:c>
      <x:c r="B8" s="79" t="n">
        <x:v>9200</x:v>
      </x:c>
      <x:c r="C8" s="87" t="n">
        <x:v>0</x:v>
      </x:c>
      <x:c r="D8" s="93" t="n">
        <x:v>0.11</x:v>
      </x:c>
      <x:c r="E8" s="117" t="b">
        <x:v>1</x:v>
      </x:c>
      <x:c r="F8" s="117" t="b">
        <x:v>1</x:v>
      </x:c>
      <x:c r="G8" s="117" t="b">
        <x:v>0</x:v>
      </x:c>
      <x:c r="H8" s="58" t="str">
        <x:v>3</x:v>
      </x:c>
      <x:c r="I8" s="58" t="str">
        <x:v>https://www.amazon.fr/livre-coloriage-cosy/s?k=livre+coloriage+cosy</x:v>
      </x:c>
      <x:c r="J8" s="59" t="str">
        <x:v>Oui</x:v>
      </x:c>
    </x:row>
    <x:row r="9">
      <x:c r="A9" s="57" t="str">
        <x:v>coloriage manga</x:v>
      </x:c>
      <x:c r="B9" s="79" t="n">
        <x:v>7000</x:v>
      </x:c>
      <x:c r="C9" s="87" t="n">
        <x:v>0</x:v>
      </x:c>
      <x:c r="D9" s="93" t="n">
        <x:v>0.07</x:v>
      </x:c>
      <x:c r="E9" s="117" t="b">
        <x:v>1</x:v>
      </x:c>
      <x:c r="F9" s="117" t="b">
        <x:v>1</x:v>
      </x:c>
      <x:c r="G9" s="117" t="b">
        <x:v>0</x:v>
      </x:c>
      <x:c r="H9" s="58" t="str">
        <x:v>1</x:v>
      </x:c>
      <x:c r="I9" s="58" t="str">
        <x:v>https://www.amazon.fr/Coloriage-Manga-diff%C3%A9rents-adolescents-personnage/dp/B0CMD8PMTV</x:v>
      </x:c>
      <x:c r="J9" s="59" t="str">
        <x:v>Oui</x:v>
      </x:c>
    </x:row>
    <x:row r="10">
      <x:c r="A10" s="57" t="str">
        <x:v>coloriage foot</x:v>
      </x:c>
      <x:c r="B10" s="79" t="n">
        <x:v>6600</x:v>
      </x:c>
      <x:c r="C10" s="87" t="n">
        <x:v>0</x:v>
      </x:c>
      <x:c r="D10" s="93" t="n">
        <x:v>0.06</x:v>
      </x:c>
      <x:c r="E10" s="117" t="b">
        <x:v>1</x:v>
      </x:c>
      <x:c r="F10" s="117" t="b">
        <x:v>1</x:v>
      </x:c>
      <x:c r="G10" s="117" t="b">
        <x:v>0</x:v>
      </x:c>
      <x:c r="H10" s="58" t="str">
        <x:v>1</x:v>
      </x:c>
      <x:c r="I10" s="58" t="str">
        <x:v>https://www.amazon.fr/Mon-cahier-coloriages-magiques-Foot/dp/2035992680</x:v>
      </x:c>
      <x:c r="J10" s="59" t="str">
        <x:v>Oui</x:v>
      </x:c>
    </x:row>
    <x:row r="11">
      <x:c r="A11" s="57" t="str">
        <x:v>coloriage fille</x:v>
      </x:c>
      <x:c r="B11" s="79" t="n">
        <x:v>6600</x:v>
      </x:c>
      <x:c r="C11" s="87" t="n">
        <x:v>0</x:v>
      </x:c>
      <x:c r="D11" s="93" t="str"/>
      <x:c r="E11" s="117" t="b">
        <x:v>1</x:v>
      </x:c>
      <x:c r="F11" s="117" t="b">
        <x:v>1</x:v>
      </x:c>
      <x:c r="G11" s="117" t="b">
        <x:v>0</x:v>
      </x:c>
      <x:c r="H11" s="58" t="str">
        <x:v>1</x:v>
      </x:c>
      <x:c r="I11" s="58" t="str">
        <x:v>https://www.amazon.fr/Coloriage-Kawaii-Fille-relaxant-anti-stress/dp/B0CVR37GQW</x:v>
      </x:c>
      <x:c r="J11" s="59" t="str">
        <x:v>Oui</x:v>
      </x:c>
    </x:row>
    <x:row r="12">
      <x:c r="A12" s="57" t="str">
        <x:v>coloriage kawaii fille</x:v>
      </x:c>
      <x:c r="B12" s="79" t="n">
        <x:v>4800</x:v>
      </x:c>
      <x:c r="C12" s="87" t="n">
        <x:v>1</x:v>
      </x:c>
      <x:c r="D12" s="93" t="str"/>
      <x:c r="E12" s="117" t="b">
        <x:v>1</x:v>
      </x:c>
      <x:c r="F12" s="117" t="b">
        <x:v>1</x:v>
      </x:c>
      <x:c r="G12" s="117" t="b">
        <x:v>1</x:v>
      </x:c>
      <x:c r="H12" s="58" t="str">
        <x:v>1</x:v>
      </x:c>
      <x:c r="I12" s="58" t="str">
        <x:v>https://www.amazon.fr/Coloriage-Kawaii-Fille-relaxant-anti-stress/dp/B0CVR37GQW</x:v>
      </x:c>
      <x:c r="J12" s="59" t="str">
        <x:v>Oui</x:v>
      </x:c>
    </x:row>
    <x:row r="13">
      <x:c r="A13" s="57" t="str">
        <x:v>chat kawaii</x:v>
      </x:c>
      <x:c r="B13" s="79" t="n">
        <x:v>4200</x:v>
      </x:c>
      <x:c r="C13" s="87" t="n">
        <x:v>0</x:v>
      </x:c>
      <x:c r="D13" s="93" t="n">
        <x:v>0.06</x:v>
      </x:c>
      <x:c r="E13" s="117" t="b">
        <x:v>1</x:v>
      </x:c>
      <x:c r="F13" s="117" t="b">
        <x:v>1</x:v>
      </x:c>
      <x:c r="G13" s="117" t="b">
        <x:v>0</x:v>
      </x:c>
      <x:c r="H13" s="58" t="str">
        <x:v>1</x:v>
      </x:c>
      <x:c r="I13" s="58" t="str">
        <x:v>https://www.amazon.fr/Livre-coloriage-chat-kawaii-japonais/dp/B0CFCX6VP5</x:v>
      </x:c>
      <x:c r="J13" s="59" t="str">
        <x:v>Oui</x:v>
      </x:c>
    </x:row>
    <x:row r="14">
      <x:c r="A14" s="57" t="str">
        <x:v>feutre acrylique</x:v>
      </x:c>
      <x:c r="B14" s="79" t="n">
        <x:v>33000</x:v>
      </x:c>
      <x:c r="C14" s="87" t="n">
        <x:v>0</x:v>
      </x:c>
      <x:c r="D14" s="93" t="n">
        <x:v>0.16</x:v>
      </x:c>
      <x:c r="E14" s="117" t="b">
        <x:v>1</x:v>
      </x:c>
      <x:c r="F14" s="117" t="b">
        <x:v>1</x:v>
      </x:c>
      <x:c r="G14" s="117" t="b">
        <x:v>1</x:v>
      </x:c>
      <x:c r="H14" s="58" t="str">
        <x:v>1</x:v>
      </x:c>
      <x:c r="I14" s="58" t="str">
        <x:v>https://www.amazon.fr/feutre-acrylique/s?k=feutre+acrylique</x:v>
      </x:c>
      <x:c r="J14" s="59" t="str">
        <x:v>Oui</x:v>
      </x:c>
    </x:row>
    <x:row r="15">
      <x:c r="A15" s="57" t="str">
        <x:v>feutre a alcool</x:v>
      </x:c>
      <x:c r="B15" s="79" t="n">
        <x:v>5400</x:v>
      </x:c>
      <x:c r="C15" s="87" t="n">
        <x:v>0</x:v>
      </x:c>
      <x:c r="D15" s="93" t="n">
        <x:v>0.21</x:v>
      </x:c>
      <x:c r="E15" s="117" t="b">
        <x:v>1</x:v>
      </x:c>
      <x:c r="F15" s="117" t="b">
        <x:v>1</x:v>
      </x:c>
      <x:c r="G15" s="117" t="b">
        <x:v>1</x:v>
      </x:c>
      <x:c r="H15" s="58" t="str">
        <x:v>5</x:v>
      </x:c>
      <x:c r="I15" s="58" t="str">
        <x:v>https://www.amazon.fr/feutre-a-alcool/s?k=feutre+a+alcool</x:v>
      </x:c>
      <x:c r="J15" s="59" t="str">
        <x:v>Oui</x:v>
      </x:c>
    </x:row>
    <x:row r="16">
      <x:c r="A16" s="57" t="str">
        <x:v>trousse kawaii</x:v>
      </x:c>
      <x:c r="B16" s="79" t="n">
        <x:v>3800</x:v>
      </x:c>
      <x:c r="C16" s="87" t="n">
        <x:v>0</x:v>
      </x:c>
      <x:c r="D16" s="93" t="n">
        <x:v>0.14</x:v>
      </x:c>
      <x:c r="E16" s="117" t="b">
        <x:v>1</x:v>
      </x:c>
      <x:c r="F16" s="117" t="b">
        <x:v>1</x:v>
      </x:c>
      <x:c r="G16" s="117" t="b">
        <x:v>1</x:v>
      </x:c>
      <x:c r="H16" s="58" t="str">
        <x:v>1</x:v>
      </x:c>
      <x:c r="I16" s="58" t="str">
        <x:v>https://www.amazon.fr/chiLUER-Trousse-Kawaii-fournitures-adolescentes/dp/B0B9FNCZR6</x:v>
      </x:c>
      <x:c r="J16" s="59" t="str">
        <x:v>Oui</x:v>
      </x:c>
    </x:row>
    <x:row r="17">
      <x:c r="A17" s="57" t="str">
        <x:v>marque page personnalisé</x:v>
      </x:c>
      <x:c r="B17" s="79" t="n">
        <x:v>3700</x:v>
      </x:c>
      <x:c r="C17" s="87" t="n">
        <x:v>1</x:v>
      </x:c>
      <x:c r="D17" s="93" t="n">
        <x:v>0.42</x:v>
      </x:c>
      <x:c r="E17" s="117" t="b">
        <x:v>1</x:v>
      </x:c>
      <x:c r="F17" s="117" t="b">
        <x:v>1</x:v>
      </x:c>
      <x:c r="G17" s="117" t="b">
        <x:v>1</x:v>
      </x:c>
      <x:c r="H17" s="58" t="str">
        <x:v>1</x:v>
      </x:c>
      <x:c r="I17" s="58" t="str">
        <x:v>https://www.amazon.fr/marque-page-personnalisable/s?k=marque+page+personnalisable</x:v>
      </x:c>
      <x:c r="J17" s="59" t="str">
        <x:v>Oui</x:v>
      </x:c>
    </x:row>
    <x:row r="18">
      <x:c r="A18" s="60" t="str">
        <x:v>diamond painting personnalisé</x:v>
      </x:c>
      <x:c r="B18" s="80" t="n">
        <x:v>6000</x:v>
      </x:c>
      <x:c r="C18" s="88" t="n">
        <x:v>2</x:v>
      </x:c>
      <x:c r="D18" s="94" t="n">
        <x:v>0.71</x:v>
      </x:c>
      <x:c r="E18" s="118" t="b">
        <x:v>1</x:v>
      </x:c>
      <x:c r="F18" s="118" t="b">
        <x:v>1</x:v>
      </x:c>
      <x:c r="G18" s="118" t="b">
        <x:v>1</x:v>
      </x:c>
      <x:c r="H18" s="61" t="str">
        <x:v>4</x:v>
      </x:c>
      <x:c r="I18" s="61" t="str">
        <x:v>https://www.amazon.fr/Painting-Personnalis%C3%A9-Personnaliser-Diamond-Painting-Personnalisable/dp/B0DF6X2BX5</x:v>
      </x:c>
      <x:c r="J18" s="62" t="str">
        <x:v>Oui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0" hidden="0" customWidth="1"/>
  </x:cols>
  <x:sheetData>
    <x:row r="1" ht="34" customHeight="1">
      <x:c r="A1" s="133" t="str">
        <x:v>Notes et hypotheses</x:v>
      </x:c>
      <x:c r="B1" s="133" t="str">
        <x:v>Notes et hypotheses</x:v>
      </x:c>
      <x:c r="C1" s="133" t="str">
        <x:v>Notes et hypotheses</x:v>
      </x:c>
      <x:c r="D1" s="133" t="str">
        <x:v>Notes et hypotheses</x:v>
      </x:c>
      <x:c r="E1" s="133" t="str">
        <x:v>Notes et hypotheses</x:v>
      </x:c>
      <x:c r="F1" s="133" t="str">
        <x:v>Notes et hypotheses</x:v>
      </x:c>
      <x:c r="G1" s="133" t="str">
        <x:v>Notes et hypotheses</x:v>
      </x:c>
      <x:c r="H1" s="133" t="str">
        <x:v>Notes et hypotheses</x:v>
      </x:c>
    </x:row>
    <x:row r="2">
      <x:c r="A2" s="58"/>
      <x:c r="B2" s="58"/>
      <x:c r="C2" s="58"/>
      <x:c r="D2" s="58"/>
      <x:c r="E2" s="58"/>
      <x:c r="F2" s="58"/>
      <x:c r="G2" s="58"/>
      <x:c r="H2" s="58"/>
    </x:row>
    <x:row r="3">
      <x:c r="A3" s="122" t="str">
        <x:v>Source CSV</x:v>
      </x:c>
      <x:c r="B3" s="56" t="str">
        <x:v>/Users/Hakim/Downloads/amazon.fr-organic-keywords-subdomains-fr-_2026-07-09_19-21-08.csv</x:v>
      </x:c>
      <x:c r="C3" s="58"/>
      <x:c r="D3" s="58"/>
      <x:c r="E3" s="58"/>
      <x:c r="F3" s="58"/>
      <x:c r="G3" s="58"/>
      <x:c r="H3" s="58"/>
    </x:row>
    <x:row r="4">
      <x:c r="A4" s="123" t="str">
        <x:v>Date de travail</x:v>
      </x:c>
      <x:c r="B4" s="59" t="str">
        <x:v>2026-07-10</x:v>
      </x:c>
      <x:c r="C4" s="58"/>
      <x:c r="D4" s="58"/>
      <x:c r="E4" s="58"/>
      <x:c r="F4" s="58"/>
      <x:c r="G4" s="58"/>
      <x:c r="H4" s="58"/>
    </x:row>
    <x:row r="5">
      <x:c r="A5" s="123" t="str">
        <x:v>Regle principale</x:v>
      </x:c>
      <x:c r="B5" s="59" t="str">
        <x:v>Chaque page de type Collection reprend un mot-cle exact du CSV ou son accentuation equivalente.</x:v>
      </x:c>
      <x:c r="C5" s="58"/>
      <x:c r="D5" s="58"/>
      <x:c r="E5" s="58"/>
      <x:c r="F5" s="58"/>
      <x:c r="G5" s="58"/>
      <x:c r="H5" s="58"/>
    </x:row>
    <x:row r="6">
      <x:c r="A6" s="123" t="str">
        <x:v>Objectif catalogue</x:v>
      </x:c>
      <x:c r="B6" s="59" t="str">
        <x:v>Construire 300+ SKU avec une cible actuelle de 430 SKU.</x:v>
      </x:c>
      <x:c r="C6" s="58"/>
      <x:c r="D6" s="58"/>
      <x:c r="E6" s="58"/>
      <x:c r="F6" s="58"/>
      <x:c r="G6" s="58"/>
      <x:c r="H6" s="58"/>
    </x:row>
    <x:row r="7">
      <x:c r="A7" s="123" t="str">
        <x:v>Positionnement</x:v>
      </x:c>
      <x:c r="B7" s="59" t="str">
        <x:v>Boutique mini-marque : kits, carnets, feutres, accessoires et cadeaux physiques.</x:v>
      </x:c>
      <x:c r="C7" s="58"/>
      <x:c r="D7" s="58"/>
      <x:c r="E7" s="58"/>
      <x:c r="F7" s="58"/>
      <x:c r="G7" s="58"/>
      <x:c r="H7" s="58"/>
    </x:row>
    <x:row r="8">
      <x:c r="A8" s="123" t="str">
        <x:v>A eviter</x:v>
      </x:c>
      <x:c r="B8" s="59" t="str">
        <x:v>Personnages/licences type Stitch, Disney, manga existant; fichiers gratuits; claims educatifs/sante non prouves.</x:v>
      </x:c>
      <x:c r="C8" s="58"/>
      <x:c r="D8" s="58"/>
      <x:c r="E8" s="58"/>
      <x:c r="F8" s="58"/>
      <x:c r="G8" s="58"/>
      <x:c r="H8" s="58"/>
    </x:row>
    <x:row r="9">
      <x:c r="A9" s="123" t="str">
        <x:v>SEO</x:v>
      </x:c>
      <x:c r="B9" s="59" t="str">
        <x:v>Les hubs menu ne doivent pas cannibaliser les collections exact-match.</x:v>
      </x:c>
      <x:c r="C9" s="58"/>
      <x:c r="D9" s="58"/>
      <x:c r="E9" s="58"/>
      <x:c r="F9" s="58"/>
      <x:c r="G9" s="58"/>
      <x:c r="H9" s="58"/>
    </x:row>
    <x:row r="10">
      <x:c r="A10" s="123" t="str">
        <x:v>SEA</x:v>
      </x:c>
      <x:c r="B10" s="59" t="str">
        <x:v>Prioriser P1 pour tests Google Shopping/Search, puis P2 selon marge et sourcing.</x:v>
      </x:c>
      <x:c r="C10" s="58"/>
      <x:c r="D10" s="58"/>
      <x:c r="E10" s="58"/>
      <x:c r="F10" s="58"/>
      <x:c r="G10" s="58"/>
      <x:c r="H10" s="58"/>
    </x:row>
    <x:row r="11">
      <x:c r="A11" s="123" t="str">
        <x:v>Critères sourcing</x:v>
      </x:c>
      <x:c r="B11" s="59" t="str">
        <x:v>Produit physique léger et non fragile; marge x3 visée; note 4,7+ et 100+ commandes de préférence; livraison France; zéro licence; vendeur et variantes cohérents.</x:v>
      </x:c>
      <x:c r="C11" s="58"/>
      <x:c r="D11" s="58"/>
      <x:c r="E11" s="58"/>
      <x:c r="F11" s="58"/>
      <x:c r="G11" s="58"/>
      <x:c r="H11" s="58"/>
    </x:row>
    <x:row r="12">
      <x:c r="A12" s="123" t="str">
        <x:v>Conformité</x:v>
      </x:c>
      <x:c r="B12" s="59" t="str">
        <x:v>Pour les feutres, exiger documentation GPSR/REACH, étiquetage UE et informations matière. Pour les personnalisés, contrôler droits images, BAT et délais.</x:v>
      </x:c>
      <x:c r="C12" s="58"/>
      <x:c r="D12" s="58"/>
      <x:c r="E12" s="58"/>
      <x:c r="F12" s="58"/>
      <x:c r="G12" s="58"/>
      <x:c r="H12" s="58"/>
    </x:row>
    <x:row r="13">
      <x:c r="A13" s="123" t="str">
        <x:v>Veille concurrence</x:v>
      </x:c>
      <x:c r="B13" s="59" t="str">
        <x:v>Quatorze acteurs proches qualifiés, dont trois sites français inclus; seuls AICrayons et MyCuttieBox sont vraiment très proches du concept.</x:v>
      </x:c>
      <x:c r="C13" s="58"/>
      <x:c r="D13" s="58"/>
      <x:c r="E13" s="58"/>
      <x:c r="F13" s="58"/>
      <x:c r="G13" s="58"/>
      <x:c r="H13" s="58"/>
    </x:row>
    <x:row r="14">
      <x:c r="A14" s="123" t="str">
        <x:v>Sourcing AliExpress</x:v>
      </x:c>
      <x:c r="B14" s="59" t="str">
        <x:v>75 emplacements sont préparés. Les URL restent vides en attente d'un export AliExpress/DSers ou d'une liste de liens vérifiable.</x:v>
      </x:c>
      <x:c r="C14" s="58"/>
      <x:c r="D14" s="58"/>
      <x:c r="E14" s="58"/>
      <x:c r="F14" s="58"/>
      <x:c r="G14" s="58"/>
      <x:c r="H14" s="58"/>
    </x:row>
    <x:row r="15">
      <x:c r="A15" s="124" t="str">
        <x:v>Mise a jour</x:v>
      </x:c>
      <x:c r="B15" s="62" t="str">
        <x:v>Coller un nouvel export Ahrefs et remplacer les volumes/KD/CPC si besoin.</x:v>
      </x:c>
      <x:c r="C15" s="58"/>
      <x:c r="D15" s="58"/>
      <x:c r="E15" s="58"/>
      <x:c r="F15" s="58"/>
      <x:c r="G15" s="58"/>
      <x:c r="H15" s="58"/>
    </x:row>
  </x:sheetData>
  <x:mergeCells>
    <x:mergeCell ref="A1:H1"/>
  </x:mergeCells>
  <x:pageMargins left="0.7" right="0.7" top="0.75" bottom="0.75" header="0.3" footer="0.3"/>
</x:worksheet>
</file>