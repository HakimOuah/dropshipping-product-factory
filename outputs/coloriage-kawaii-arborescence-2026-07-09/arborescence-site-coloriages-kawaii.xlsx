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73dcf1b3c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6cec9919da4039"/>
    <x:sheet xmlns:r="http://schemas.openxmlformats.org/officeDocument/2006/relationships" name="Arborescence" sheetId="2" r:id="R95ee2580d91b480d"/>
    <x:sheet xmlns:r="http://schemas.openxmlformats.org/officeDocument/2006/relationships" name="Collections" sheetId="3" r:id="Re0b1dc1177f24218"/>
    <x:sheet xmlns:r="http://schemas.openxmlformats.org/officeDocument/2006/relationships" name="SKU_Plan" sheetId="4" r:id="Rd6f9e97e068e452f"/>
    <x:sheet xmlns:r="http://schemas.openxmlformats.org/officeDocument/2006/relationships" name="Source_Data" sheetId="5" r:id="R4c8109e11c9b45a5"/>
    <x:sheet xmlns:r="http://schemas.openxmlformats.org/officeDocument/2006/relationships" name="Notes" sheetId="6" r:id="R4fd77bab22f8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0.00"/>
    <x:numFmt numFmtId="203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064E3B"/>
      <x:name val="Carlito"/>
    </x:font>
    <x:font>
      <x:b/>
      <x:sz val="11"/>
      <x:color rgb="FFFFFFFF"/>
      <x:name val="Carlito"/>
    </x:font>
    <x:font>
      <x:b/>
      <x:sz val="14"/>
      <x:color rgb="FF9A3412"/>
      <x:name val="Carlito"/>
    </x:font>
    <x:font>
      <x:b/>
      <x:sz val="14"/>
      <x:color rgb="FF115E59"/>
      <x:name val="Carlito"/>
    </x:font>
    <x:font>
      <x:b/>
      <x:sz val="11"/>
      <x:name val="Carlito"/>
    </x:font>
    <x:font>
      <x:b/>
      <x:sz val="11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F0FDFA"/>
      </x:patternFill>
    </x:fill>
    <x:fill>
      <x:patternFill patternType="solid">
        <x:fgColor rgb="FF1F2937"/>
      </x:patternFill>
    </x:fill>
    <x:fill>
      <x:patternFill patternType="solid">
        <x:fgColor rgb="FFF97316"/>
      </x:patternFill>
    </x:fill>
  </x:fills>
  <x:borders count="12">
    <x:border/>
    <x:border>
      <x:left style="thin">
        <x:color rgb="FF0B4F45"/>
      </x:left>
      <x:top style="thin">
        <x:color rgb="FF0B4F45"/>
      </x:top>
      <x:bottom style="thin">
        <x:color rgb="FF0B4F45"/>
      </x:bottom>
    </x:border>
    <x:border>
      <x:top style="thin">
        <x:color rgb="FF0B4F45"/>
      </x:top>
      <x:bottom style="thin">
        <x:color rgb="FF0B4F45"/>
      </x:bottom>
    </x:border>
    <x:border>
      <x:right style="thin">
        <x:color rgb="FF0B4F45"/>
      </x:right>
      <x:top style="thin">
        <x:color rgb="FF0B4F45"/>
      </x:top>
      <x:bottom style="thin">
        <x:color rgb="FF0B4F45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right"/>
    </x:xf>
    <x:xf numFmtId="201" fontId="5" fillId="6" borderId="0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 applyAlignment="1">
      <x:alignment horizontal="right"/>
    </x:xf>
    <x:xf numFmtId="202" fontId="5" fillId="6" borderId="0" xfId="0" applyNumberFormat="1" applyFont="1" applyFill="1" applyBorder="1" applyAlignment="1">
      <x:alignment horizontal="center"/>
    </x:xf>
    <x:xf numFmtId="202" fontId="5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horizontal="center" vertical="top" wrapText="1"/>
    </x:xf>
    <x:xf numFmtId="0" fontId="3" fillId="8" borderId="7" xfId="0" applyNumberFormat="1" applyFont="1" applyFill="1" applyBorder="1" applyAlignment="1">
      <x:alignment horizontal="center" vertical="top" wrapText="1"/>
    </x:xf>
    <x:xf numFmtId="0" fontId="3" fillId="8" borderId="9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0" xfId="0" applyNumberFormat="1" applyFont="1" applyFill="1" applyBorder="1" applyAlignment="1">
      <x:alignment horizontal="right"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horizontal="right" vertical="top" wrapText="1"/>
    </x:xf>
    <x:xf numFmtId="203" fontId="0" fillId="0" borderId="0" xfId="0" applyNumberFormat="1" applyFont="1" applyFill="1" applyBorder="1" applyAlignment="1">
      <x:alignment horizontal="right" vertical="top" wrapText="1"/>
    </x:xf>
    <x:xf numFmtId="203" fontId="0" fillId="0" borderId="10" xfId="0" applyNumberFormat="1" applyFont="1" applyFill="1" applyBorder="1" applyAlignment="1">
      <x:alignment horizontal="right" vertical="top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horizontal="right" vertical="top" wrapText="1"/>
    </x:xf>
    <x:xf numFmtId="202" fontId="0" fillId="0" borderId="0" xfId="0" applyNumberFormat="1" applyFont="1" applyFill="1" applyBorder="1" applyAlignment="1">
      <x:alignment horizontal="right" vertical="top" wrapText="1"/>
    </x:xf>
    <x:xf numFmtId="202" fontId="0" fillId="0" borderId="10" xfId="0" applyNumberFormat="1" applyFont="1" applyFill="1" applyBorder="1" applyAlignment="1">
      <x:alignment horizontal="righ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right" wrapText="1"/>
    </x:xf>
    <x:xf numFmtId="201" fontId="5" fillId="6" borderId="0" xfId="0" applyNumberFormat="1" applyFont="1" applyFill="1" applyBorder="1" applyAlignment="1">
      <x:alignment horizontal="right" wrapText="1"/>
    </x:xf>
    <x:xf numFmtId="202" fontId="5" fillId="6" borderId="0" xfId="0" applyNumberFormat="1" applyFont="1" applyFill="1" applyBorder="1" applyAlignment="1">
      <x:alignment horizontal="right" wrapText="1"/>
    </x:xf>
    <x:xf numFmtId="0" fontId="3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200" fontId="4" fillId="5" borderId="0" xfId="0" applyNumberFormat="1" applyFont="1" applyFill="1" applyBorder="1" applyAlignment="1">
      <x:alignment horizontal="right" vertical="top" wrapText="1"/>
    </x:xf>
    <x:xf numFmtId="201" fontId="5" fillId="6" borderId="0" xfId="0" applyNumberFormat="1" applyFont="1" applyFill="1" applyBorder="1" applyAlignment="1">
      <x:alignment horizontal="right" vertical="top" wrapText="1"/>
    </x:xf>
    <x:xf numFmtId="202" fontId="5" fillId="6" borderId="0" xfId="0" applyNumberFormat="1" applyFont="1" applyFill="1" applyBorder="1" applyAlignment="1">
      <x:alignment horizontal="right"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454000b724934" /><Relationship Type="http://schemas.openxmlformats.org/officeDocument/2006/relationships/theme" Target="/xl/theme/theme1.xml" Id="R30b8cf6062d74dc6" /><Relationship Type="http://schemas.microsoft.com/office/2022/11/relationships/FeaturePropertyBag" Target="/xl/featurePropertyBag/featurePropertyBag.xml" Id="R9f7c4a485c3b457a" /><Relationship Type="http://schemas.openxmlformats.org/officeDocument/2006/relationships/sharedStrings" Target="/xl/sharedStrings.xml" Id="R1ca7acdb850c4ff4" /><Relationship Type="http://schemas.openxmlformats.org/officeDocument/2006/relationships/worksheet" Target="/xl/worksheets/sheet1.xml" Id="R086cec9919da4039" /><Relationship Type="http://schemas.openxmlformats.org/officeDocument/2006/relationships/worksheet" Target="/xl/worksheets/sheet2.xml" Id="R95ee2580d91b480d" /><Relationship Type="http://schemas.openxmlformats.org/officeDocument/2006/relationships/worksheet" Target="/xl/worksheets/sheet3.xml" Id="Re0b1dc1177f24218" /><Relationship Type="http://schemas.openxmlformats.org/officeDocument/2006/relationships/worksheet" Target="/xl/worksheets/sheet4.xml" Id="Rd6f9e97e068e452f" /><Relationship Type="http://schemas.openxmlformats.org/officeDocument/2006/relationships/worksheet" Target="/xl/worksheets/sheet5.xml" Id="R4c8109e11c9b45a5" /><Relationship Type="http://schemas.openxmlformats.org/officeDocument/2006/relationships/worksheet" Target="/xl/worksheets/sheet6.xml" Id="R4fd77bab22f849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16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116" t="str">
        <x:v>Arborescence SEO - Boutique Coloriages Kawaii</x:v>
      </x:c>
      <x:c r="B1" s="116" t="str">
        <x:v>Arborescence SEO - Boutique Coloriages Kawaii</x:v>
      </x:c>
      <x:c r="C1" s="116" t="str">
        <x:v>Arborescence SEO - Boutique Coloriages Kawaii</x:v>
      </x:c>
      <x:c r="D1" s="116" t="str">
        <x:v>Arborescence SEO - Boutique Coloriages Kawaii</x:v>
      </x:c>
      <x:c r="E1" s="116" t="str">
        <x:v>Arborescence SEO - Boutique Coloriages Kawaii</x:v>
      </x:c>
      <x:c r="F1" s="116" t="str">
        <x:v>Arborescence SEO - Boutique Coloriages Kawaii</x:v>
      </x:c>
      <x:c r="G1" s="116" t="str">
        <x:v>Arborescence SEO - Boutique Coloriages Kawaii</x:v>
      </x:c>
      <x:c r="H1" s="116" t="str">
        <x:v>Arborescence SEO - Boutique Coloriages Kawaii</x:v>
      </x:c>
      <x:c r="I1" s="116" t="str">
        <x:v>Arborescence SEO - Boutique Coloriages Kawaii</x:v>
      </x:c>
      <x:c r="J1" s="116" t="str">
        <x:v>Arborescence SEO - Boutique Coloriages Kawaii</x:v>
      </x:c>
      <x:c r="K1" s="116" t="str">
        <x:v>Arborescence SEO - Boutique Coloriages Kawaii</x:v>
      </x:c>
      <x:c r="L1" s="116" t="str">
        <x:v>Arborescence SEO - Boutique Coloriages Kawaii</x:v>
      </x:c>
    </x:row>
    <x:row r="2">
      <x:c r="A2" s="117" t="str">
        <x:v>Structure de site avec collections basees sur des mots-cles Ahrefs. Chaque collection = un mot-cle cible.</x:v>
      </x:c>
      <x:c r="B2" s="117" t="str">
        <x:v>Structure de site avec collections basees sur des mots-cles Ahrefs. Chaque collection = un mot-cle cible.</x:v>
      </x:c>
      <x:c r="C2" s="117" t="str">
        <x:v>Structure de site avec collections basees sur des mots-cles Ahrefs. Chaque collection = un mot-cle cible.</x:v>
      </x:c>
      <x:c r="D2" s="117" t="str">
        <x:v>Structure de site avec collections basees sur des mots-cles Ahrefs. Chaque collection = un mot-cle cible.</x:v>
      </x:c>
      <x:c r="E2" s="117" t="str">
        <x:v>Structure de site avec collections basees sur des mots-cles Ahrefs. Chaque collection = un mot-cle cible.</x:v>
      </x:c>
      <x:c r="F2" s="117" t="str">
        <x:v>Structure de site avec collections basees sur des mots-cles Ahrefs. Chaque collection = un mot-cle cible.</x:v>
      </x:c>
      <x:c r="G2" s="117" t="str">
        <x:v>Structure de site avec collections basees sur des mots-cles Ahrefs. Chaque collection = un mot-cle cible.</x:v>
      </x:c>
      <x:c r="H2" s="117" t="str">
        <x:v>Structure de site avec collections basees sur des mots-cles Ahrefs. Chaque collection = un mot-cle cible.</x:v>
      </x:c>
      <x:c r="I2" s="117" t="str">
        <x:v>Structure de site avec collections basees sur des mots-cles Ahrefs. Chaque collection = un mot-cle cible.</x:v>
      </x:c>
      <x:c r="J2" s="117" t="str">
        <x:v>Structure de site avec collections basees sur des mots-cles Ahrefs. Chaque collection = un mot-cle cible.</x:v>
      </x:c>
      <x:c r="K2" s="117" t="str">
        <x:v>Structure de site avec collections basees sur des mots-cles Ahrefs. Chaque collection = un mot-cle cible.</x:v>
      </x:c>
      <x:c r="L2" s="117" t="str">
        <x:v>Structure de site avec collections basees sur des mots-cles Ahrefs. Chaque collection = un mot-cle cible.</x:v>
      </x:c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</x:row>
    <x:row r="4">
      <x:c r="A4" s="118" t="str">
        <x:v>Collections actives</x:v>
      </x:c>
      <x:c r="B4" s="119" t="str">
        <x:v>Volume SEO total</x:v>
      </x:c>
      <x:c r="C4" s="120" t="str">
        <x:v>SKU cible total</x:v>
      </x:c>
      <x:c r="D4" s="58"/>
      <x:c r="E4" s="118" t="str">
        <x:v>KD moyen pondere</x:v>
      </x:c>
      <x:c r="F4" s="119" t="str">
        <x:v>CPC moyen pondere</x:v>
      </x:c>
      <x:c r="G4" s="120" t="str">
        <x:v>Prix moyen cible</x:v>
      </x:c>
      <x:c r="H4" s="58"/>
      <x:c r="I4" s="58"/>
      <x:c r="J4" s="58"/>
      <x:c r="K4" s="58"/>
      <x:c r="L4" s="58"/>
    </x:row>
    <x:row r="5">
      <x:c r="A5" s="121" t="n">
        <x:f>COUNTIF(Collections!$D$4:$D$18,"Oui")</x:f>
        <x:v>15</x:v>
      </x:c>
      <x:c r="B5" s="122" t="n">
        <x:f>SUM(Collections!$F$4:$F$18)</x:f>
        <x:v>168300</x:v>
      </x:c>
      <x:c r="C5" s="122" t="n">
        <x:f>SUM(Collections!$K$4:$K$18)</x:f>
        <x:v>430</x:v>
      </x:c>
      <x:c r="D5" s="58"/>
      <x:c r="E5" s="123" t="n">
        <x:f>ROUND(SUMPRODUCT(Collections!$F$4:$F$18,Collections!$G$4:$G$18)/SUM(Collections!$F$4:$F$18),1)</x:f>
        <x:v>0.6</x:v>
      </x:c>
      <x:c r="F5" s="124" t="n">
        <x:f>ROUND(SUMPRODUCT(Collections!$F$4:$F$18,Collections!$H$4:$H$18)/SUMIF(Collections!$H$4:$H$18,"&gt;0",Collections!$F$4:$F$18),2)</x:f>
        <x:v>0.13</x:v>
      </x:c>
      <x:c r="G5" s="123" t="n">
        <x:f>ROUND(AVERAGE(Collections!$L$4:$L$18),1)</x:f>
        <x:v>24.8</x:v>
      </x:c>
      <x:c r="H5" s="58"/>
      <x:c r="I5" s="58"/>
      <x:c r="J5" s="58"/>
      <x:c r="K5" s="58"/>
      <x:c r="L5" s="58"/>
    </x:row>
    <x:row r="6">
      <x:c r="A6" s="58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</x:row>
    <x:row r="7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</x:row>
    <x:row r="8">
      <x:c r="A8" s="125" t="str">
        <x:v>Roadmap recommandee</x:v>
      </x:c>
      <x:c r="B8" s="125" t="str">
        <x:v>Roadmap recommandee</x:v>
      </x:c>
      <x:c r="C8" s="125" t="str">
        <x:v>Roadmap recommandee</x:v>
      </x:c>
      <x:c r="D8" s="125" t="str">
        <x:v>Roadmap recommandee</x:v>
      </x:c>
      <x:c r="E8" s="125" t="str">
        <x:v>Roadmap recommandee</x:v>
      </x:c>
      <x:c r="F8" s="125" t="str">
        <x:v>Roadmap recommandee</x:v>
      </x:c>
      <x:c r="G8" s="125" t="str">
        <x:v>Roadmap recommandee</x:v>
      </x:c>
      <x:c r="H8" s="125" t="str">
        <x:v>Roadmap recommandee</x:v>
      </x:c>
      <x:c r="I8" s="125" t="str">
        <x:v>Roadmap recommandee</x:v>
      </x:c>
      <x:c r="J8" s="125" t="str">
        <x:v>Roadmap recommandee</x:v>
      </x:c>
      <x:c r="K8" s="125" t="str">
        <x:v>Roadmap recommandee</x:v>
      </x:c>
      <x:c r="L8" s="125" t="str">
        <x:v>Roadmap recommandee</x:v>
      </x:c>
    </x:row>
    <x:row r="9">
      <x:c r="A9" s="69" t="str">
        <x:v>1</x:v>
      </x:c>
      <x:c r="B9" s="72" t="str">
        <x:v>Lancer les collections P1</x:v>
      </x:c>
      <x:c r="C9" s="72" t="str">
        <x:v>Coloriage kawaii, adulte, magique, mystere, cosy et feutre acrylique.</x:v>
      </x:c>
      <x:c r="D9" s="55" t="str">
        <x:v>Objectif : capter les plus gros volumes avec des pages de collection solides et des bundles physiques.</x:v>
      </x:c>
      <x:c r="E9" s="55"/>
      <x:c r="F9" s="55"/>
      <x:c r="G9" s="55"/>
      <x:c r="H9" s="55"/>
      <x:c r="I9" s="55"/>
      <x:c r="J9" s="55"/>
      <x:c r="K9" s="55"/>
      <x:c r="L9" s="56"/>
    </x:row>
    <x:row r="10">
      <x:c r="A10" s="70" t="str">
        <x:v>2</x:v>
      </x:c>
      <x:c r="B10" s="73" t="str">
        <x:v>Construire 300+ SKU</x:v>
      </x:c>
      <x:c r="C10" s="73" t="str">
        <x:v>Repartir les SKU selon SKU_Plan, en commencant par les packs et kits a forte marge.</x:v>
      </x:c>
      <x:c r="D10" s="58" t="str">
        <x:v>Eviter les fichiers gratuits : vendre des objets physiques, lots et personnalisations.</x:v>
      </x:c>
      <x:c r="E10" s="58"/>
      <x:c r="F10" s="58"/>
      <x:c r="G10" s="58"/>
      <x:c r="H10" s="58"/>
      <x:c r="I10" s="58"/>
      <x:c r="J10" s="58"/>
      <x:c r="K10" s="58"/>
      <x:c r="L10" s="59"/>
    </x:row>
    <x:row r="11">
      <x:c r="A11" s="70" t="str">
        <x:v>3</x:v>
      </x:c>
      <x:c r="B11" s="73" t="str">
        <x:v>Maillage interne</x:v>
      </x:c>
      <x:c r="C11" s="73" t="str">
        <x:v>Chaque page P2 remonte vers coloriage kawaii et vers l'accessoire le plus logique.</x:v>
      </x:c>
      <x:c r="D11" s="58" t="str">
        <x:v>Ex : coloriage manga -&gt; feutre a alcool; coloriage cosy -&gt; marque page personnalise.</x:v>
      </x:c>
      <x:c r="E11" s="58"/>
      <x:c r="F11" s="58"/>
      <x:c r="G11" s="58"/>
      <x:c r="H11" s="58"/>
      <x:c r="I11" s="58"/>
      <x:c r="J11" s="58"/>
      <x:c r="K11" s="58"/>
      <x:c r="L11" s="59"/>
    </x:row>
    <x:row r="12">
      <x:c r="A12" s="70" t="str">
        <x:v>4</x:v>
      </x:c>
      <x:c r="B12" s="73" t="str">
        <x:v>Contenu SEO</x:v>
      </x:c>
      <x:c r="C12" s="73" t="str">
        <x:v>Ajouter guides courts sur les pages collection et 8-12 articles blog top-funnel.</x:v>
      </x:c>
      <x:c r="D12" s="58" t="str">
        <x:v>Blog uniquement pour alimenter les collections, pas comme destination principale.</x:v>
      </x:c>
      <x:c r="E12" s="58"/>
      <x:c r="F12" s="58"/>
      <x:c r="G12" s="58"/>
      <x:c r="H12" s="58"/>
      <x:c r="I12" s="58"/>
      <x:c r="J12" s="58"/>
      <x:c r="K12" s="58"/>
      <x:c r="L12" s="59"/>
    </x:row>
    <x:row r="13">
      <x:c r="A13" s="71" t="str">
        <x:v>5</x:v>
      </x:c>
      <x:c r="B13" s="74" t="str">
        <x:v>Sourcing</x:v>
      </x:c>
      <x:c r="C13" s="74" t="str">
        <x:v>Exclure les licences et personnages proteges.</x:v>
      </x:c>
      <x:c r="D13" s="61" t="str">
        <x:v>Utiliser des designs originaux kawaii, chibi, animaux, cocooning, football generique.</x:v>
      </x:c>
      <x:c r="E13" s="61"/>
      <x:c r="F13" s="61"/>
      <x:c r="G13" s="61"/>
      <x:c r="H13" s="61"/>
      <x:c r="I13" s="61"/>
      <x:c r="J13" s="61"/>
      <x:c r="K13" s="61"/>
      <x:c r="L13" s="62"/>
    </x:row>
    <x:row r="14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</x:row>
    <x:row r="15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</x:row>
    <x:row r="16">
      <x:c r="A16" s="126" t="str">
        <x:v>Top collections a creer en premier</x:v>
      </x:c>
      <x:c r="B16" s="126" t="str">
        <x:v>Top collections a creer en premier</x:v>
      </x:c>
      <x:c r="C16" s="126" t="str">
        <x:v>Top collections a creer en premier</x:v>
      </x:c>
      <x:c r="D16" s="126" t="str">
        <x:v>Top collections a creer en premier</x:v>
      </x:c>
      <x:c r="E16" s="126" t="str">
        <x:v>Top collections a creer en premier</x:v>
      </x:c>
      <x:c r="F16" s="126" t="str">
        <x:v>Top collections a creer en premier</x:v>
      </x:c>
      <x:c r="G16" s="126" t="str">
        <x:v>Top collections a creer en premier</x:v>
      </x:c>
      <x:c r="H16" s="126" t="str">
        <x:v>Top collections a creer en premier</x:v>
      </x:c>
      <x:c r="I16" s="126" t="str">
        <x:v>Top collections a creer en premier</x:v>
      </x:c>
      <x:c r="J16" s="126" t="str">
        <x:v>Top collections a creer en premier</x:v>
      </x:c>
      <x:c r="K16" s="126" t="str">
        <x:v>Top collections a creer en premier</x:v>
      </x:c>
      <x:c r="L16" s="126" t="str">
        <x:v>Top collections a creer en premier</x:v>
      </x:c>
    </x:row>
    <x:row r="17">
      <x:c r="A17" s="118" t="str">
        <x:v>Priorite</x:v>
      </x:c>
      <x:c r="B17" s="119" t="str">
        <x:v>Collection = mot-cle</x:v>
      </x:c>
      <x:c r="C17" s="119" t="str">
        <x:v>Volume</x:v>
      </x:c>
      <x:c r="D17" s="119" t="str">
        <x:v>SKU cible</x:v>
      </x:c>
      <x:c r="E17" s="120" t="str">
        <x:v>Pourquoi</x:v>
      </x:c>
      <x:c r="F17" s="58"/>
      <x:c r="G17" s="58"/>
      <x:c r="H17" s="58"/>
      <x:c r="I17" s="58"/>
      <x:c r="J17" s="58"/>
      <x:c r="K17" s="58"/>
      <x:c r="L17" s="58"/>
    </x:row>
    <x:row r="18">
      <x:c r="A18" s="54" t="str">
        <x:v>P1</x:v>
      </x:c>
      <x:c r="B18" s="55" t="str">
        <x:v>coloriage kawaii</x:v>
      </x:c>
      <x:c r="C18" s="78" t="n">
        <x:v>38000</x:v>
      </x:c>
      <x:c r="D18" s="78" t="n">
        <x:v>45</x:v>
      </x:c>
      <x:c r="E18" s="56" t="str">
        <x:v>Page pilier et mot-cle exact-match de la marque.</x:v>
      </x:c>
      <x:c r="F18" s="58"/>
      <x:c r="G18" s="58"/>
      <x:c r="H18" s="58"/>
      <x:c r="I18" s="58"/>
      <x:c r="J18" s="58"/>
      <x:c r="K18" s="58"/>
      <x:c r="L18" s="58"/>
    </x:row>
    <x:row r="19">
      <x:c r="A19" s="57" t="str">
        <x:v>P1</x:v>
      </x:c>
      <x:c r="B19" s="58" t="str">
        <x:v>feutre acrylique</x:v>
      </x:c>
      <x:c r="C19" s="79" t="n">
        <x:v>33000</x:v>
      </x:c>
      <x:c r="D19" s="79" t="n">
        <x:v>40</x:v>
      </x:c>
      <x:c r="E19" s="59" t="str">
        <x:v>Accessoire a panier moyen et marge plus forte.</x:v>
      </x:c>
      <x:c r="F19" s="58"/>
      <x:c r="G19" s="58"/>
      <x:c r="H19" s="58"/>
      <x:c r="I19" s="58"/>
      <x:c r="J19" s="58"/>
      <x:c r="K19" s="58"/>
      <x:c r="L19" s="58"/>
    </x:row>
    <x:row r="20">
      <x:c r="A20" s="57" t="str">
        <x:v>P1</x:v>
      </x:c>
      <x:c r="B20" s="58" t="str">
        <x:v>coloriage adulte</x:v>
      </x:c>
      <x:c r="C20" s="79" t="n">
        <x:v>15000</x:v>
      </x:c>
      <x:c r="D20" s="79" t="n">
        <x:v>35</x:v>
      </x:c>
      <x:c r="E20" s="59" t="str">
        <x:v>Segment plus premium, bon pour bundles.</x:v>
      </x:c>
      <x:c r="F20" s="58"/>
      <x:c r="G20" s="58"/>
      <x:c r="H20" s="58"/>
      <x:c r="I20" s="58"/>
      <x:c r="J20" s="58"/>
      <x:c r="K20" s="58"/>
      <x:c r="L20" s="58"/>
    </x:row>
    <x:row r="21">
      <x:c r="A21" s="57" t="str">
        <x:v>P1</x:v>
      </x:c>
      <x:c r="B21" s="58" t="str">
        <x:v>coloriage magique</x:v>
      </x:c>
      <x:c r="C21" s="79" t="n">
        <x:v>13000</x:v>
      </x:c>
      <x:c r="D21" s="79" t="n">
        <x:v>30</x:v>
      </x:c>
      <x:c r="E21" s="59" t="str">
        <x:v>Giftable enfant, bonne intention produit.</x:v>
      </x:c>
      <x:c r="F21" s="58"/>
      <x:c r="G21" s="58"/>
      <x:c r="H21" s="58"/>
      <x:c r="I21" s="58"/>
      <x:c r="J21" s="58"/>
      <x:c r="K21" s="58"/>
      <x:c r="L21" s="58"/>
    </x:row>
    <x:row r="22">
      <x:c r="A22" s="60" t="str">
        <x:v>P1</x:v>
      </x:c>
      <x:c r="B22" s="61" t="str">
        <x:v>coloriage mystere</x:v>
      </x:c>
      <x:c r="C22" s="80" t="n">
        <x:v>12000</x:v>
      </x:c>
      <x:c r="D22" s="80" t="n">
        <x:v>30</x:v>
      </x:c>
      <x:c r="E22" s="62" t="str">
        <x:v>Angle ludique, retention et cross-sell.</x:v>
      </x:c>
      <x:c r="F22" s="58"/>
      <x:c r="G22" s="58"/>
      <x:c r="H22" s="58"/>
      <x:c r="I22" s="58"/>
      <x:c r="J22" s="58"/>
      <x:c r="K22" s="58"/>
      <x:c r="L22" s="58"/>
    </x:row>
  </x:sheetData>
  <x:mergeCells>
    <x:mergeCell ref="A1:L1"/>
    <x:mergeCell ref="A2:L2"/>
    <x:mergeCell ref="A8:L8"/>
    <x:mergeCell ref="D9:L9"/>
    <x:mergeCell ref="D10:L10"/>
    <x:mergeCell ref="D11:L11"/>
    <x:mergeCell ref="D12:L12"/>
    <x:mergeCell ref="D13:L13"/>
    <x:mergeCell ref="A16:L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8" hidden="0" customWidth="1"/>
    <x:col min="5" max="5" width="34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4" hidden="0" customWidth="1"/>
    <x:col min="14" max="14" width="36" hidden="0" customWidth="1"/>
    <x:col min="15" max="15" width="54" hidden="0" customWidth="1"/>
    <x:col min="16" max="16" width="36" hidden="0" customWidth="1"/>
    <x:col min="17" max="17" width="50" hidden="0" customWidth="1"/>
  </x:cols>
  <x:sheetData>
    <x:row r="1" ht="34" customHeight="1">
      <x:c r="A1" s="116" t="str">
        <x:v>Arborescence de site - Coloriages Kawaii</x:v>
      </x:c>
      <x:c r="B1" s="116" t="str">
        <x:v>Arborescence de site - Coloriages Kawaii</x:v>
      </x:c>
      <x:c r="C1" s="116" t="str">
        <x:v>Arborescence de site - Coloriages Kawaii</x:v>
      </x:c>
      <x:c r="D1" s="116" t="str">
        <x:v>Arborescence de site - Coloriages Kawaii</x:v>
      </x:c>
      <x:c r="E1" s="116" t="str">
        <x:v>Arborescence de site - Coloriages Kawaii</x:v>
      </x:c>
      <x:c r="F1" s="116" t="str">
        <x:v>Arborescence de site - Coloriages Kawaii</x:v>
      </x:c>
      <x:c r="G1" s="116" t="str">
        <x:v>Arborescence de site - Coloriages Kawaii</x:v>
      </x:c>
      <x:c r="H1" s="116" t="str">
        <x:v>Arborescence de site - Coloriages Kawaii</x:v>
      </x:c>
      <x:c r="I1" s="116" t="str">
        <x:v>Arborescence de site - Coloriages Kawaii</x:v>
      </x:c>
      <x:c r="J1" s="116" t="str">
        <x:v>Arborescence de site - Coloriages Kawaii</x:v>
      </x:c>
      <x:c r="K1" s="116" t="str">
        <x:v>Arborescence de site - Coloriages Kawaii</x:v>
      </x:c>
      <x:c r="L1" s="116" t="str">
        <x:v>Arborescence de site - Coloriages Kawaii</x:v>
      </x:c>
      <x:c r="M1" s="116" t="str">
        <x:v>Arborescence de site - Coloriages Kawaii</x:v>
      </x:c>
      <x:c r="N1" s="116" t="str">
        <x:v>Arborescence de site - Coloriages Kawaii</x:v>
      </x:c>
      <x:c r="O1" s="116" t="str">
        <x:v>Arborescence de site - Coloriages Kawaii</x:v>
      </x:c>
      <x:c r="P1" s="116" t="str">
        <x:v>Arborescence de site - Coloriages Kawaii</x:v>
      </x:c>
      <x:c r="Q1" s="116" t="str">
        <x:v>Arborescence de site - Coloriages Kawaii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</x:row>
    <x:row r="3">
      <x:c r="A3" s="118" t="str">
        <x:v>Niveau</x:v>
      </x:c>
      <x:c r="B3" s="119" t="str">
        <x:v>Type page</x:v>
      </x:c>
      <x:c r="C3" s="119" t="str">
        <x:v>Parent</x:v>
      </x:c>
      <x:c r="D3" s="119" t="str">
        <x:v>Collection = mot-cle</x:v>
      </x:c>
      <x:c r="E3" s="119" t="str">
        <x:v>URL</x:v>
      </x:c>
      <x:c r="F3" s="119" t="str">
        <x:v>H1</x:v>
      </x:c>
      <x:c r="G3" s="119" t="str">
        <x:v>Volume FR</x:v>
      </x:c>
      <x:c r="H3" s="119" t="str">
        <x:v>KD</x:v>
      </x:c>
      <x:c r="I3" s="119" t="str">
        <x:v>CPC</x:v>
      </x:c>
      <x:c r="J3" s="119" t="str">
        <x:v>Intention</x:v>
      </x:c>
      <x:c r="K3" s="119" t="str">
        <x:v>Priorite</x:v>
      </x:c>
      <x:c r="L3" s="119" t="str">
        <x:v>SKU cible</x:v>
      </x:c>
      <x:c r="M3" s="119" t="str">
        <x:v>Role SEO</x:v>
      </x:c>
      <x:c r="N3" s="119" t="str">
        <x:v>Meta title</x:v>
      </x:c>
      <x:c r="O3" s="119" t="str">
        <x:v>Meta description</x:v>
      </x:c>
      <x:c r="P3" s="119" t="str">
        <x:v>Maillage interne</x:v>
      </x:c>
      <x:c r="Q3" s="120" t="str">
        <x:v>Notes</x:v>
      </x:c>
    </x:row>
    <x:row r="4">
      <x:c r="A4" s="54" t="n">
        <x:v>0</x:v>
      </x:c>
      <x:c r="B4" s="55" t="str">
        <x:v>Accueil / hub marque</x:v>
      </x:c>
      <x:c r="C4" s="55" t="str">
        <x:v>-</x:v>
      </x:c>
      <x:c r="D4" s="55" t="str">
        <x:v>coloriage kawaii</x:v>
      </x:c>
      <x:c r="E4" s="55" t="str">
        <x:v>/</x:v>
      </x:c>
      <x:c r="F4" s="55" t="str">
        <x:v>Coloriage Kawaii</x:v>
      </x:c>
      <x:c r="G4" s="78" t="n">
        <x:v>38000</x:v>
      </x:c>
      <x:c r="H4" s="84" t="n">
        <x:v>1</x:v>
      </x:c>
      <x:c r="I4" s="90" t="n">
        <x:v>0.06</x:v>
      </x:c>
      <x:c r="J4" s="55" t="str">
        <x:v>Marque + commerciale</x:v>
      </x:c>
      <x:c r="K4" s="55" t="str">
        <x:v>P1</x:v>
      </x:c>
      <x:c r="L4" s="78" t="n">
        <x:v>0</x:v>
      </x:c>
      <x:c r="M4" s="55" t="str">
        <x:v>Page d'entree marque, rassurance, best-sellers et collections P1.</x:v>
      </x:c>
      <x:c r="N4" s="55" t="str">
        <x:v>Coloriage Kawaii | Kits, carnets et feutres mignons</x:v>
      </x:c>
      <x:c r="O4" s="55" t="str">
        <x:v>Boutique de coloriages kawaii, carnets creatifs, feutres et kits cadeaux pour enfants et adultes.</x:v>
      </x:c>
      <x:c r="P4" s="55" t="str">
        <x:v>Liens directs vers toutes les collections P1 et accessoires.</x:v>
      </x:c>
      <x:c r="Q4" s="56" t="str">
        <x:v>Ne pas surcharger en texte : montrer les produits et bundles.</x:v>
      </x:c>
    </x:row>
    <x:row r="5">
      <x:c r="A5" s="57" t="n">
        <x:v>1</x:v>
      </x:c>
      <x:c r="B5" s="58" t="str">
        <x:v>Hub menu non-collection</x:v>
      </x:c>
      <x:c r="C5" s="58" t="str">
        <x:v>/</x:v>
      </x:c>
      <x:c r="D5" s="58" t="str"/>
      <x:c r="E5" s="58" t="str">
        <x:v>/univers/coloriage-kawaii</x:v>
      </x:c>
      <x:c r="F5" s="58" t="str">
        <x:v>Coloriages kawaii</x:v>
      </x:c>
      <x:c r="G5" s="79" t="str"/>
      <x:c r="H5" s="85" t="str"/>
      <x:c r="I5" s="91" t="str"/>
      <x:c r="J5" s="58" t="str">
        <x:v>Navigation</x:v>
      </x:c>
      <x:c r="K5" s="58" t="str"/>
      <x:c r="L5" s="79" t="str"/>
      <x:c r="M5" s="58" t="str">
        <x:v>Regroupe les collections sans cannibaliser les mots-cles exacts.</x:v>
      </x:c>
      <x:c r="N5" s="58" t="str">
        <x:v>Coloriages kawaii</x:v>
      </x:c>
      <x:c r="O5" s="58" t="str">
        <x:v>Selection coloriages pour orienter le visiteur vers les collections.</x:v>
      </x:c>
      <x:c r="P5" s="58" t="str">
        <x:v>Liens vers collections du meme pilier.</x:v>
      </x:c>
      <x:c r="Q5" s="59" t="str">
        <x:v>Menu principal</x:v>
      </x:c>
    </x:row>
    <x:row r="6">
      <x:c r="A6" s="57" t="n">
        <x:v>1</x:v>
      </x:c>
      <x:c r="B6" s="58" t="str">
        <x:v>Hub menu non-collection</x:v>
      </x:c>
      <x:c r="C6" s="58" t="str">
        <x:v>/</x:v>
      </x:c>
      <x:c r="D6" s="58" t="str"/>
      <x:c r="E6" s="58" t="str">
        <x:v>/univers/feutre-acrylique</x:v>
      </x:c>
      <x:c r="F6" s="58" t="str">
        <x:v>Feutres et accessoires</x:v>
      </x:c>
      <x:c r="G6" s="79" t="str"/>
      <x:c r="H6" s="85" t="str"/>
      <x:c r="I6" s="91" t="str"/>
      <x:c r="J6" s="58" t="str">
        <x:v>Navigation</x:v>
      </x:c>
      <x:c r="K6" s="58" t="str"/>
      <x:c r="L6" s="79" t="str"/>
      <x:c r="M6" s="58" t="str">
        <x:v>Regroupe les collections sans cannibaliser les mots-cles exacts.</x:v>
      </x:c>
      <x:c r="N6" s="58" t="str">
        <x:v>Feutres et accessoires</x:v>
      </x:c>
      <x:c r="O6" s="58" t="str">
        <x:v>Selection accessoires pour orienter le visiteur vers les collections.</x:v>
      </x:c>
      <x:c r="P6" s="58" t="str">
        <x:v>Liens vers collections du meme pilier.</x:v>
      </x:c>
      <x:c r="Q6" s="59" t="str">
        <x:v>Menu principal</x:v>
      </x:c>
    </x:row>
    <x:row r="7">
      <x:c r="A7" s="57" t="n">
        <x:v>1</x:v>
      </x:c>
      <x:c r="B7" s="58" t="str">
        <x:v>Hub menu non-collection</x:v>
      </x:c>
      <x:c r="C7" s="58" t="str">
        <x:v>/</x:v>
      </x:c>
      <x:c r="D7" s="58" t="str"/>
      <x:c r="E7" s="58" t="str">
        <x:v>/univers/diamond-painting-personnalise</x:v>
      </x:c>
      <x:c r="F7" s="58" t="str">
        <x:v>Cadeaux creatifs</x:v>
      </x:c>
      <x:c r="G7" s="79" t="str"/>
      <x:c r="H7" s="85" t="str"/>
      <x:c r="I7" s="91" t="str"/>
      <x:c r="J7" s="58" t="str">
        <x:v>Navigation</x:v>
      </x:c>
      <x:c r="K7" s="58" t="str"/>
      <x:c r="L7" s="79" t="str"/>
      <x:c r="M7" s="58" t="str">
        <x:v>Regroupe les collections sans cannibaliser les mots-cles exacts.</x:v>
      </x:c>
      <x:c r="N7" s="58" t="str">
        <x:v>Cadeaux creatifs</x:v>
      </x:c>
      <x:c r="O7" s="58" t="str">
        <x:v>Selection cadeaux creatifs pour orienter le visiteur vers les collections.</x:v>
      </x:c>
      <x:c r="P7" s="58" t="str">
        <x:v>Liens vers collections du meme pilier.</x:v>
      </x:c>
      <x:c r="Q7" s="59" t="str">
        <x:v>Menu principal</x:v>
      </x:c>
    </x:row>
    <x:row r="8">
      <x:c r="A8" s="57" t="n">
        <x:v>2</x:v>
      </x:c>
      <x:c r="B8" s="58" t="str">
        <x:v>Collection</x:v>
      </x:c>
      <x:c r="C8" s="58" t="str">
        <x:v>/univers/coloriages</x:v>
      </x:c>
      <x:c r="D8" s="58" t="str">
        <x:v>coloriage kawaii</x:v>
      </x:c>
      <x:c r="E8" s="58" t="str">
        <x:v>/collections/coloriage-kawaii</x:v>
      </x:c>
      <x:c r="F8" s="58" t="str">
        <x:v>Coloriage Kawaii</x:v>
      </x:c>
      <x:c r="G8" s="79" t="n">
        <x:v>38000</x:v>
      </x:c>
      <x:c r="H8" s="85" t="n">
        <x:v>1</x:v>
      </x:c>
      <x:c r="I8" s="91" t="n">
        <x:v>0.06</x:v>
      </x:c>
      <x:c r="J8" s="58" t="str">
        <x:v>Transactionnelle</x:v>
      </x:c>
      <x:c r="K8" s="58" t="str">
        <x:v>P1</x:v>
      </x:c>
      <x:c r="L8" s="79" t="n">
        <x:v>45</x:v>
      </x:c>
      <x:c r="M8" s="58" t="str">
        <x:v>Collection pilier SEO et commerciale</x:v>
      </x:c>
      <x:c r="N8" s="58" t="str">
        <x:v>coloriage kawaii | Kits et carnets kawaii</x:v>
      </x:c>
      <x:c r="O8" s="58" t="str">
        <x:v>Découvrez notre collection coloriage kawaii : carnets, kits et accessoires créatifs pour une boutique coloriage kawaii.</x:v>
      </x:c>
      <x:c r="P8" s="58" t="str">
        <x:v>Depuis accueil + menu + collections P2 liees</x:v>
      </x:c>
      <x:c r="Q8" s="59" t="str">
        <x:v>Livres, carnets, packs imprimés, bundles découverte. Page mère à mailler vers tous les thèmes kawaii.</x:v>
      </x:c>
    </x:row>
    <x:row r="9">
      <x:c r="A9" s="57" t="n">
        <x:v>2</x:v>
      </x:c>
      <x:c r="B9" s="58" t="str">
        <x:v>Collection</x:v>
      </x:c>
      <x:c r="C9" s="58" t="str">
        <x:v>/univers/coloriages</x:v>
      </x:c>
      <x:c r="D9" s="58" t="str">
        <x:v>coloriage adulte</x:v>
      </x:c>
      <x:c r="E9" s="58" t="str">
        <x:v>/collections/coloriage-adulte</x:v>
      </x:c>
      <x:c r="F9" s="58" t="str">
        <x:v>Coloriage Adulte</x:v>
      </x:c>
      <x:c r="G9" s="79" t="n">
        <x:v>15000</x:v>
      </x:c>
      <x:c r="H9" s="85" t="n">
        <x:v>0</x:v>
      </x:c>
      <x:c r="I9" s="91" t="n">
        <x:v>0.1</x:v>
      </x:c>
      <x:c r="J9" s="58" t="str">
        <x:v>Commerciale</x:v>
      </x:c>
      <x:c r="K9" s="58" t="str">
        <x:v>P1</x:v>
      </x:c>
      <x:c r="L9" s="79" t="n">
        <x:v>35</x:v>
      </x:c>
      <x:c r="M9" s="58" t="str">
        <x:v>Segment panier plus élevé</x:v>
      </x:c>
      <x:c r="N9" s="58" t="str">
        <x:v>coloriage adulte | Kits et carnets kawaii</x:v>
      </x:c>
      <x:c r="O9" s="58" t="str">
        <x:v>Découvrez notre collection coloriage adulte : carnets, kits et accessoires créatifs pour une boutique coloriage kawaii.</x:v>
      </x:c>
      <x:c r="P9" s="58" t="str">
        <x:v>Depuis accueil + menu + collections P2 liees</x:v>
      </x:c>
      <x:c r="Q9" s="59" t="str">
        <x:v>Cahiers anti-stress, mandalas kawaii, carnets premium papier épais, packs feutres + livre.</x:v>
      </x:c>
    </x:row>
    <x:row r="10">
      <x:c r="A10" s="57" t="n">
        <x:v>2</x:v>
      </x:c>
      <x:c r="B10" s="58" t="str">
        <x:v>Collection</x:v>
      </x:c>
      <x:c r="C10" s="58" t="str">
        <x:v>/univers/coloriages</x:v>
      </x:c>
      <x:c r="D10" s="58" t="str">
        <x:v>coloriage magique</x:v>
      </x:c>
      <x:c r="E10" s="58" t="str">
        <x:v>/collections/coloriage-magique</x:v>
      </x:c>
      <x:c r="F10" s="58" t="str">
        <x:v>Coloriage Magique</x:v>
      </x:c>
      <x:c r="G10" s="79" t="n">
        <x:v>13000</x:v>
      </x:c>
      <x:c r="H10" s="85" t="n">
        <x:v>3</x:v>
      </x:c>
      <x:c r="I10" s="91" t="n">
        <x:v>0.08</x:v>
      </x:c>
      <x:c r="J10" s="58" t="str">
        <x:v>Commerciale</x:v>
      </x:c>
      <x:c r="K10" s="58" t="str">
        <x:v>P1</x:v>
      </x:c>
      <x:c r="L10" s="79" t="n">
        <x:v>30</x:v>
      </x:c>
      <x:c r="M10" s="58" t="str">
        <x:v>Collection enfant/giftable</x:v>
      </x:c>
      <x:c r="N10" s="58" t="str">
        <x:v>coloriage magique | Kits et carnets kawaii</x:v>
      </x:c>
      <x:c r="O10" s="58" t="str">
        <x:v>Découvrez notre collection coloriage magique : carnets, kits et accessoires créatifs pour une boutique coloriage kawaii.</x:v>
      </x:c>
      <x:c r="P10" s="58" t="str">
        <x:v>Depuis accueil + menu + collections P2 liees</x:v>
      </x:c>
      <x:c r="Q10" s="59" t="str">
        <x:v>Livres à révélation, feutres magiques, cahiers effaçables, packs cadeaux anniversaire.</x:v>
      </x:c>
    </x:row>
    <x:row r="11">
      <x:c r="A11" s="57" t="n">
        <x:v>2</x:v>
      </x:c>
      <x:c r="B11" s="58" t="str">
        <x:v>Collection</x:v>
      </x:c>
      <x:c r="C11" s="58" t="str">
        <x:v>/univers/coloriages</x:v>
      </x:c>
      <x:c r="D11" s="58" t="str">
        <x:v>coloriage mystere</x:v>
      </x:c>
      <x:c r="E11" s="58" t="str">
        <x:v>/collections/coloriage-mystere</x:v>
      </x:c>
      <x:c r="F11" s="58" t="str">
        <x:v>Coloriage Mystere</x:v>
      </x:c>
      <x:c r="G11" s="79" t="n">
        <x:v>12000</x:v>
      </x:c>
      <x:c r="H11" s="85" t="n">
        <x:v>0</x:v>
      </x:c>
      <x:c r="I11" s="91" t="n">
        <x:v>0.09</x:v>
      </x:c>
      <x:c r="J11" s="58" t="str">
        <x:v>Transactionnelle</x:v>
      </x:c>
      <x:c r="K11" s="58" t="str">
        <x:v>P1</x:v>
      </x:c>
      <x:c r="L11" s="79" t="n">
        <x:v>30</x:v>
      </x:c>
      <x:c r="M11" s="58" t="str">
        <x:v>Angle découverte et retention</x:v>
      </x:c>
      <x:c r="N11" s="58" t="str">
        <x:v>coloriage mystere | Kits et carnets kawaii</x:v>
      </x:c>
      <x:c r="O11" s="58" t="str">
        <x:v>Découvrez notre collection coloriage mystere : carnets, kits et accessoires créatifs pour une boutique coloriage kawaii.</x:v>
      </x:c>
      <x:c r="P11" s="58" t="str">
        <x:v>Depuis accueil + menu + collections P2 liees</x:v>
      </x:c>
      <x:c r="Q11" s="59" t="str">
        <x:v>Coloriages mystères par numéros, pixels kawaii, animaux cachés, cartes surprises.</x:v>
      </x:c>
    </x:row>
    <x:row r="12">
      <x:c r="A12" s="57" t="n">
        <x:v>2</x:v>
      </x:c>
      <x:c r="B12" s="58" t="str">
        <x:v>Collection</x:v>
      </x:c>
      <x:c r="C12" s="58" t="str">
        <x:v>/univers/coloriages</x:v>
      </x:c>
      <x:c r="D12" s="58" t="str">
        <x:v>coloriage cosy</x:v>
      </x:c>
      <x:c r="E12" s="58" t="str">
        <x:v>/collections/coloriage-cosy</x:v>
      </x:c>
      <x:c r="F12" s="58" t="str">
        <x:v>Coloriage Cosy</x:v>
      </x:c>
      <x:c r="G12" s="79" t="n">
        <x:v>9200</x:v>
      </x:c>
      <x:c r="H12" s="85" t="n">
        <x:v>0</x:v>
      </x:c>
      <x:c r="I12" s="91" t="n">
        <x:v>0.11</x:v>
      </x:c>
      <x:c r="J12" s="58" t="str">
        <x:v>Commerciale</x:v>
      </x:c>
      <x:c r="K12" s="58" t="str">
        <x:v>P1</x:v>
      </x:c>
      <x:c r="L12" s="79" t="n">
        <x:v>30</x:v>
      </x:c>
      <x:c r="M12" s="58" t="str">
        <x:v>Positionnement marque cosy</x:v>
      </x:c>
      <x:c r="N12" s="58" t="str">
        <x:v>coloriage cosy | Kits et carnets kawaii</x:v>
      </x:c>
      <x:c r="O12" s="58" t="str">
        <x:v>Découvrez notre collection coloriage cosy : carnets, kits et accessoires créatifs pour une boutique coloriage kawaii.</x:v>
      </x:c>
      <x:c r="P12" s="58" t="str">
        <x:v>Depuis accueil + menu + collections P2 liees</x:v>
      </x:c>
      <x:c r="Q12" s="59" t="str">
        <x:v>Univers cocooning : chats, thé, maison, automne, journaling, packs relaxation.</x:v>
      </x:c>
    </x:row>
    <x:row r="13">
      <x:c r="A13" s="57" t="n">
        <x:v>2</x:v>
      </x:c>
      <x:c r="B13" s="58" t="str">
        <x:v>Collection</x:v>
      </x:c>
      <x:c r="C13" s="58" t="str">
        <x:v>/univers/coloriages</x:v>
      </x:c>
      <x:c r="D13" s="58" t="str">
        <x:v>coloriage manga</x:v>
      </x:c>
      <x:c r="E13" s="58" t="str">
        <x:v>/collections/coloriage-manga</x:v>
      </x:c>
      <x:c r="F13" s="58" t="str">
        <x:v>Coloriage Manga</x:v>
      </x:c>
      <x:c r="G13" s="79" t="n">
        <x:v>7000</x:v>
      </x:c>
      <x:c r="H13" s="85" t="n">
        <x:v>0</x:v>
      </x:c>
      <x:c r="I13" s="91" t="n">
        <x:v>0.07</x:v>
      </x:c>
      <x:c r="J13" s="58" t="str">
        <x:v>Commerciale</x:v>
      </x:c>
      <x:c r="K13" s="58" t="str">
        <x:v>P2</x:v>
      </x:c>
      <x:c r="L13" s="79" t="n">
        <x:v>25</x:v>
      </x:c>
      <x:c r="M13" s="58" t="str">
        <x:v>Trafic passion mais IP-safe</x:v>
      </x:c>
      <x:c r="N13" s="58" t="str">
        <x:v>coloriage manga | Kits et carnets kawaii</x:v>
      </x:c>
      <x:c r="O13" s="58" t="str">
        <x:v>Découvrez notre collection coloriage manga : carnets, kits et accessoires créatifs pour une boutique coloriage kawaii.</x:v>
      </x:c>
      <x:c r="P13" s="58" t="str">
        <x:v>Depuis page pilier + recommandations produits</x:v>
      </x:c>
      <x:c r="Q13" s="59" t="str">
        <x:v>Personnages originaux manga/chibi, expressions, tenues, cahiers apprentissage dessin.</x:v>
      </x:c>
    </x:row>
    <x:row r="14">
      <x:c r="A14" s="57" t="n">
        <x:v>2</x:v>
      </x:c>
      <x:c r="B14" s="58" t="str">
        <x:v>Collection</x:v>
      </x:c>
      <x:c r="C14" s="58" t="str">
        <x:v>/univers/coloriages</x:v>
      </x:c>
      <x:c r="D14" s="58" t="str">
        <x:v>coloriage foot</x:v>
      </x:c>
      <x:c r="E14" s="58" t="str">
        <x:v>/collections/coloriage-foot</x:v>
      </x:c>
      <x:c r="F14" s="58" t="str">
        <x:v>Coloriage Foot</x:v>
      </x:c>
      <x:c r="G14" s="79" t="n">
        <x:v>6600</x:v>
      </x:c>
      <x:c r="H14" s="85" t="n">
        <x:v>0</x:v>
      </x:c>
      <x:c r="I14" s="91" t="n">
        <x:v>0.06</x:v>
      </x:c>
      <x:c r="J14" s="58" t="str">
        <x:v>Commerciale</x:v>
      </x:c>
      <x:c r="K14" s="58" t="str">
        <x:v>P2</x:v>
      </x:c>
      <x:c r="L14" s="79" t="n">
        <x:v>25</x:v>
      </x:c>
      <x:c r="M14" s="58" t="str">
        <x:v>Collection cadeau enfant</x:v>
      </x:c>
      <x:c r="N14" s="58" t="str">
        <x:v>coloriage foot | Kits et carnets kawaii</x:v>
      </x:c>
      <x:c r="O14" s="58" t="str">
        <x:v>Découvrez notre collection coloriage foot : carnets, kits et accessoires créatifs pour une boutique coloriage kawaii.</x:v>
      </x:c>
      <x:c r="P14" s="58" t="str">
        <x:v>Depuis page pilier + recommandations produits</x:v>
      </x:c>
      <x:c r="Q14" s="59" t="str">
        <x:v>Coloriages football génériques, maillots non licenciés, trophées, ballons, activités anniversaire.</x:v>
      </x:c>
    </x:row>
    <x:row r="15">
      <x:c r="A15" s="57" t="n">
        <x:v>2</x:v>
      </x:c>
      <x:c r="B15" s="58" t="str">
        <x:v>Collection</x:v>
      </x:c>
      <x:c r="C15" s="58" t="str">
        <x:v>/univers/coloriages</x:v>
      </x:c>
      <x:c r="D15" s="58" t="str">
        <x:v>coloriage fille</x:v>
      </x:c>
      <x:c r="E15" s="58" t="str">
        <x:v>/collections/coloriage-fille</x:v>
      </x:c>
      <x:c r="F15" s="58" t="str">
        <x:v>Coloriage Fille</x:v>
      </x:c>
      <x:c r="G15" s="79" t="n">
        <x:v>6600</x:v>
      </x:c>
      <x:c r="H15" s="85" t="n">
        <x:v>0</x:v>
      </x:c>
      <x:c r="I15" s="91" t="str"/>
      <x:c r="J15" s="58" t="str">
        <x:v>Commerciale</x:v>
      </x:c>
      <x:c r="K15" s="58" t="str">
        <x:v>P2</x:v>
      </x:c>
      <x:c r="L15" s="79" t="n">
        <x:v>25</x:v>
      </x:c>
      <x:c r="M15" s="58" t="str">
        <x:v>Requête large enfant</x:v>
      </x:c>
      <x:c r="N15" s="58" t="str">
        <x:v>coloriage fille | Kits et carnets kawaii</x:v>
      </x:c>
      <x:c r="O15" s="58" t="str">
        <x:v>Découvrez notre collection coloriage fille : carnets, kits et accessoires créatifs pour une boutique coloriage kawaii.</x:v>
      </x:c>
      <x:c r="P15" s="58" t="str">
        <x:v>Depuis page pilier + recommandations produits</x:v>
      </x:c>
      <x:c r="Q15" s="59" t="str">
        <x:v>Licornes, animaux mignons, sirènes, mode, stickers. Attention à garder un wording inclusif en site.</x:v>
      </x:c>
    </x:row>
    <x:row r="16">
      <x:c r="A16" s="57" t="n">
        <x:v>2</x:v>
      </x:c>
      <x:c r="B16" s="58" t="str">
        <x:v>Collection</x:v>
      </x:c>
      <x:c r="C16" s="58" t="str">
        <x:v>/univers/coloriages</x:v>
      </x:c>
      <x:c r="D16" s="58" t="str">
        <x:v>coloriage kawaii fille</x:v>
      </x:c>
      <x:c r="E16" s="58" t="str">
        <x:v>/collections/coloriage-kawaii-fille</x:v>
      </x:c>
      <x:c r="F16" s="58" t="str">
        <x:v>Coloriage Kawaii Fille</x:v>
      </x:c>
      <x:c r="G16" s="79" t="n">
        <x:v>4800</x:v>
      </x:c>
      <x:c r="H16" s="85" t="n">
        <x:v>1</x:v>
      </x:c>
      <x:c r="I16" s="91" t="str"/>
      <x:c r="J16" s="58" t="str">
        <x:v>Transactionnelle</x:v>
      </x:c>
      <x:c r="K16" s="58" t="str">
        <x:v>P2</x:v>
      </x:c>
      <x:c r="L16" s="79" t="n">
        <x:v>25</x:v>
      </x:c>
      <x:c r="M16" s="58" t="str">
        <x:v>Longue traîne transactionnelle</x:v>
      </x:c>
      <x:c r="N16" s="58" t="str">
        <x:v>coloriage kawaii fille | Kits et carnets kawaii</x:v>
      </x:c>
      <x:c r="O16" s="58" t="str">
        <x:v>Découvrez notre collection coloriage kawaii fille : carnets, kits et accessoires créatifs pour une boutique coloriage kawaii.</x:v>
      </x:c>
      <x:c r="P16" s="58" t="str">
        <x:v>Depuis page pilier + recommandations produits</x:v>
      </x:c>
      <x:c r="Q16" s="59" t="str">
        <x:v>Déclinaison plus ciblée de la page pilier, à mailler depuis coloriage kawaii et coloriage fille.</x:v>
      </x:c>
    </x:row>
    <x:row r="17">
      <x:c r="A17" s="57" t="n">
        <x:v>2</x:v>
      </x:c>
      <x:c r="B17" s="58" t="str">
        <x:v>Collection</x:v>
      </x:c>
      <x:c r="C17" s="58" t="str">
        <x:v>/univers/themes-kawaii</x:v>
      </x:c>
      <x:c r="D17" s="58" t="str">
        <x:v>chat kawaii</x:v>
      </x:c>
      <x:c r="E17" s="58" t="str">
        <x:v>/collections/chat-kawaii</x:v>
      </x:c>
      <x:c r="F17" s="58" t="str">
        <x:v>Chat Kawaii</x:v>
      </x:c>
      <x:c r="G17" s="79" t="n">
        <x:v>4200</x:v>
      </x:c>
      <x:c r="H17" s="85" t="n">
        <x:v>0</x:v>
      </x:c>
      <x:c r="I17" s="91" t="n">
        <x:v>0.06</x:v>
      </x:c>
      <x:c r="J17" s="58" t="str">
        <x:v>Commerciale</x:v>
      </x:c>
      <x:c r="K17" s="58" t="str">
        <x:v>P2</x:v>
      </x:c>
      <x:c r="L17" s="79" t="n">
        <x:v>20</x:v>
      </x:c>
      <x:c r="M17" s="58" t="str">
        <x:v>Thème très brandable</x:v>
      </x:c>
      <x:c r="N17" s="58" t="str">
        <x:v>chat kawaii | Kits et carnets kawaii</x:v>
      </x:c>
      <x:c r="O17" s="58" t="str">
        <x:v>Découvrez notre collection chat kawaii : carnets, kits et accessoires créatifs pour une boutique coloriage kawaii.</x:v>
      </x:c>
      <x:c r="P17" s="58" t="str">
        <x:v>Depuis page pilier + recommandations produits</x:v>
      </x:c>
      <x:c r="Q17" s="59" t="str">
        <x:v>Collection de livres, stickers, marque-pages et mini kits autour du chat kawaii.</x:v>
      </x:c>
    </x:row>
    <x:row r="18">
      <x:c r="A18" s="57" t="n">
        <x:v>2</x:v>
      </x:c>
      <x:c r="B18" s="58" t="str">
        <x:v>Collection</x:v>
      </x:c>
      <x:c r="C18" s="58" t="str">
        <x:v>/univers/accessoires</x:v>
      </x:c>
      <x:c r="D18" s="58" t="str">
        <x:v>feutre acrylique</x:v>
      </x:c>
      <x:c r="E18" s="58" t="str">
        <x:v>/collections/feutre-acrylique</x:v>
      </x:c>
      <x:c r="F18" s="58" t="str">
        <x:v>Feutre Acrylique</x:v>
      </x:c>
      <x:c r="G18" s="79" t="n">
        <x:v>33000</x:v>
      </x:c>
      <x:c r="H18" s="85" t="n">
        <x:v>0</x:v>
      </x:c>
      <x:c r="I18" s="91" t="n">
        <x:v>0.16</x:v>
      </x:c>
      <x:c r="J18" s="58" t="str">
        <x:v>Transactionnelle</x:v>
      </x:c>
      <x:c r="K18" s="58" t="str">
        <x:v>P1</x:v>
      </x:c>
      <x:c r="L18" s="79" t="n">
        <x:v>40</x:v>
      </x:c>
      <x:c r="M18" s="58" t="str">
        <x:v>Monétisation accessoire forte</x:v>
      </x:c>
      <x:c r="N18" s="58" t="str">
        <x:v>feutre acrylique | Kits et carnets kawaii</x:v>
      </x:c>
      <x:c r="O18" s="58" t="str">
        <x:v>Découvrez notre collection feutre acrylique : carnets, kits et accessoires créatifs pour une boutique coloriage kawaii.</x:v>
      </x:c>
      <x:c r="P18" s="58" t="str">
        <x:v>Depuis accueil + menu + collections P2 liees</x:v>
      </x:c>
      <x:c r="Q18" s="59" t="str">
        <x:v>Sets de feutres, pointes fines, packs couleurs pastel, bundle avec cahiers papier épais.</x:v>
      </x:c>
    </x:row>
    <x:row r="19">
      <x:c r="A19" s="57" t="n">
        <x:v>2</x:v>
      </x:c>
      <x:c r="B19" s="58" t="str">
        <x:v>Collection</x:v>
      </x:c>
      <x:c r="C19" s="58" t="str">
        <x:v>/univers/accessoires</x:v>
      </x:c>
      <x:c r="D19" s="58" t="str">
        <x:v>feutre a alcool</x:v>
      </x:c>
      <x:c r="E19" s="58" t="str">
        <x:v>/collections/feutre-a-alcool</x:v>
      </x:c>
      <x:c r="F19" s="58" t="str">
        <x:v>Feutre A Alcool</x:v>
      </x:c>
      <x:c r="G19" s="79" t="n">
        <x:v>5400</x:v>
      </x:c>
      <x:c r="H19" s="85" t="n">
        <x:v>0</x:v>
      </x:c>
      <x:c r="I19" s="91" t="n">
        <x:v>0.21</x:v>
      </x:c>
      <x:c r="J19" s="58" t="str">
        <x:v>Transactionnelle</x:v>
      </x:c>
      <x:c r="K19" s="58" t="str">
        <x:v>P2</x:v>
      </x:c>
      <x:c r="L19" s="79" t="n">
        <x:v>30</x:v>
      </x:c>
      <x:c r="M19" s="58" t="str">
        <x:v>Panier moyen et upsell</x:v>
      </x:c>
      <x:c r="N19" s="58" t="str">
        <x:v>feutre a alcool | Kits et carnets kawaii</x:v>
      </x:c>
      <x:c r="O19" s="58" t="str">
        <x:v>Découvrez notre collection feutre a alcool : carnets, kits et accessoires créatifs pour une boutique coloriage kawaii.</x:v>
      </x:c>
      <x:c r="P19" s="58" t="str">
        <x:v>Depuis page pilier + recommandations produits</x:v>
      </x:c>
      <x:c r="Q19" s="59" t="str">
        <x:v>Sets alcohol markers, nuanciers, pochettes rangement, packs débutant et premium.</x:v>
      </x:c>
    </x:row>
    <x:row r="20">
      <x:c r="A20" s="57" t="n">
        <x:v>2</x:v>
      </x:c>
      <x:c r="B20" s="58" t="str">
        <x:v>Collection</x:v>
      </x:c>
      <x:c r="C20" s="58" t="str">
        <x:v>/univers/accessoires</x:v>
      </x:c>
      <x:c r="D20" s="58" t="str">
        <x:v>trousse kawaii</x:v>
      </x:c>
      <x:c r="E20" s="58" t="str">
        <x:v>/collections/trousse-kawaii</x:v>
      </x:c>
      <x:c r="F20" s="58" t="str">
        <x:v>Trousse Kawaii</x:v>
      </x:c>
      <x:c r="G20" s="79" t="n">
        <x:v>3800</x:v>
      </x:c>
      <x:c r="H20" s="85" t="n">
        <x:v>0</x:v>
      </x:c>
      <x:c r="I20" s="91" t="n">
        <x:v>0.14</x:v>
      </x:c>
      <x:c r="J20" s="58" t="str">
        <x:v>Transactionnelle</x:v>
      </x:c>
      <x:c r="K20" s="58" t="str">
        <x:v>P2</x:v>
      </x:c>
      <x:c r="L20" s="79" t="n">
        <x:v>20</x:v>
      </x:c>
      <x:c r="M20" s="58" t="str">
        <x:v>Produit léger et cadeau</x:v>
      </x:c>
      <x:c r="N20" s="58" t="str">
        <x:v>trousse kawaii | Kits et carnets kawaii</x:v>
      </x:c>
      <x:c r="O20" s="58" t="str">
        <x:v>Découvrez notre collection trousse kawaii : carnets, kits et accessoires créatifs pour une boutique coloriage kawaii.</x:v>
      </x:c>
      <x:c r="P20" s="58" t="str">
        <x:v>Depuis page pilier + recommandations produits</x:v>
      </x:c>
      <x:c r="Q20" s="59" t="str">
        <x:v>Trousses mignonnes, pochettes feutres, rangement coloriage, lots rentrée.</x:v>
      </x:c>
    </x:row>
    <x:row r="21">
      <x:c r="A21" s="57" t="n">
        <x:v>2</x:v>
      </x:c>
      <x:c r="B21" s="58" t="str">
        <x:v>Collection</x:v>
      </x:c>
      <x:c r="C21" s="58" t="str">
        <x:v>/univers/cadeaux-creatifs</x:v>
      </x:c>
      <x:c r="D21" s="58" t="str">
        <x:v>marque page personnalisé</x:v>
      </x:c>
      <x:c r="E21" s="58" t="str">
        <x:v>/collections/marque-page-personnalise</x:v>
      </x:c>
      <x:c r="F21" s="58" t="str">
        <x:v>Marque Page Personnalisé</x:v>
      </x:c>
      <x:c r="G21" s="79" t="n">
        <x:v>3700</x:v>
      </x:c>
      <x:c r="H21" s="85" t="n">
        <x:v>1</x:v>
      </x:c>
      <x:c r="I21" s="91" t="n">
        <x:v>0.42</x:v>
      </x:c>
      <x:c r="J21" s="58" t="str">
        <x:v>Transactionnelle</x:v>
      </x:c>
      <x:c r="K21" s="58" t="str">
        <x:v>P2</x:v>
      </x:c>
      <x:c r="L21" s="79" t="n">
        <x:v>20</x:v>
      </x:c>
      <x:c r="M21" s="58" t="str">
        <x:v>AOV par personnalisation</x:v>
      </x:c>
      <x:c r="N21" s="58" t="str">
        <x:v>marque page personnalisé | Kits et carnets kawaii</x:v>
      </x:c>
      <x:c r="O21" s="58" t="str">
        <x:v>Découvrez notre collection marque page personnalisé : carnets, kits et accessoires créatifs pour une boutique coloriage kawaii.</x:v>
      </x:c>
      <x:c r="P21" s="58" t="str">
        <x:v>Depuis page pilier + recommandations produits</x:v>
      </x:c>
      <x:c r="Q21" s="59" t="str">
        <x:v>Marque-pages prénom, chats, fleurs, citations, lots de 3 et bundle cahier.</x:v>
      </x:c>
    </x:row>
    <x:row r="22">
      <x:c r="A22" s="57" t="n">
        <x:v>2</x:v>
      </x:c>
      <x:c r="B22" s="58" t="str">
        <x:v>Collection</x:v>
      </x:c>
      <x:c r="C22" s="58" t="str">
        <x:v>/univers/cadeaux-creatifs</x:v>
      </x:c>
      <x:c r="D22" s="58" t="str">
        <x:v>diamond painting personnalisé</x:v>
      </x:c>
      <x:c r="E22" s="58" t="str">
        <x:v>/collections/diamond-painting-personnalise</x:v>
      </x:c>
      <x:c r="F22" s="58" t="str">
        <x:v>Diamond Painting Personnalisé</x:v>
      </x:c>
      <x:c r="G22" s="79" t="n">
        <x:v>6000</x:v>
      </x:c>
      <x:c r="H22" s="85" t="n">
        <x:v>2</x:v>
      </x:c>
      <x:c r="I22" s="91" t="n">
        <x:v>0.71</x:v>
      </x:c>
      <x:c r="J22" s="58" t="str">
        <x:v>Transactionnelle</x:v>
      </x:c>
      <x:c r="K22" s="58" t="str">
        <x:v>P2</x:v>
      </x:c>
      <x:c r="L22" s="79" t="n">
        <x:v>30</x:v>
      </x:c>
      <x:c r="M22" s="58" t="str">
        <x:v>Produit cadeau à marge</x:v>
      </x:c>
      <x:c r="N22" s="58" t="str">
        <x:v>diamond painting personnalisé | Kits et carnets kawaii</x:v>
      </x:c>
      <x:c r="O22" s="58" t="str">
        <x:v>Découvrez notre collection diamond painting personnalisé : carnets, kits et accessoires créatifs pour une boutique coloriage kawaii.</x:v>
      </x:c>
      <x:c r="P22" s="58" t="str">
        <x:v>Depuis page pilier + recommandations produits</x:v>
      </x:c>
      <x:c r="Q22" s="59" t="str">
        <x:v>Kits personnalisés, formats petits faciles à expédier, modèles animaux kawaii.</x:v>
      </x:c>
    </x:row>
    <x:row r="23">
      <x:c r="A23" s="57" t="n">
        <x:v>1</x:v>
      </x:c>
      <x:c r="B23" s="58" t="str">
        <x:v>Blog SEO</x:v>
      </x:c>
      <x:c r="C23" s="58" t="str">
        <x:v>/</x:v>
      </x:c>
      <x:c r="D23" s="58" t="str"/>
      <x:c r="E23" s="58" t="str">
        <x:v>/blogs/guides</x:v>
      </x:c>
      <x:c r="F23" s="58" t="str">
        <x:v>Guides coloriage kawaii</x:v>
      </x:c>
      <x:c r="G23" s="79" t="str"/>
      <x:c r="H23" s="85" t="str"/>
      <x:c r="I23" s="91" t="str"/>
      <x:c r="J23" s="58" t="str">
        <x:v>Informationnelle</x:v>
      </x:c>
      <x:c r="K23" s="58" t="str">
        <x:v>P3</x:v>
      </x:c>
      <x:c r="L23" s="79" t="str"/>
      <x:c r="M23" s="58" t="str">
        <x:v>Alimenter les collections, pas remplacer les pages transactionnelles.</x:v>
      </x:c>
      <x:c r="N23" s="58" t="str">
        <x:v>Guides coloriage kawaii</x:v>
      </x:c>
      <x:c r="O23" s="58" t="str">
        <x:v>Idees, conseils feutres et inspirations pour mieux colorier.</x:v>
      </x:c>
      <x:c r="P23" s="58" t="str">
        <x:v>Chaque article doit pointer vers une collection.</x:v>
      </x:c>
      <x:c r="Q23" s="59" t="str">
        <x:v>Exemples : comment choisir ses feutres, coloriage kawaii adulte, idees cadeaux.</x:v>
      </x:c>
    </x:row>
    <x:row r="24">
      <x:c r="A24" s="60" t="n">
        <x:v>1</x:v>
      </x:c>
      <x:c r="B24" s="61" t="str">
        <x:v>Pages confiance</x:v>
      </x:c>
      <x:c r="C24" s="61" t="str">
        <x:v>/</x:v>
      </x:c>
      <x:c r="D24" s="61" t="str"/>
      <x:c r="E24" s="61" t="str">
        <x:v>/pages/livraison-retours</x:v>
      </x:c>
      <x:c r="F24" s="61" t="str">
        <x:v>Livraison et retours</x:v>
      </x:c>
      <x:c r="G24" s="80" t="str"/>
      <x:c r="H24" s="86" t="str"/>
      <x:c r="I24" s="92" t="str"/>
      <x:c r="J24" s="61" t="str">
        <x:v>Rassurance</x:v>
      </x:c>
      <x:c r="K24" s="61" t="str">
        <x:v>P2</x:v>
      </x:c>
      <x:c r="L24" s="80" t="str"/>
      <x:c r="M24" s="61" t="str">
        <x:v>Limiter la friction avant achat.</x:v>
      </x:c>
      <x:c r="N24" s="61" t="str">
        <x:v>Livraison et retours</x:v>
      </x:c>
      <x:c r="O24" s="61" t="str">
        <x:v>Delais, suivi et retours pour les kits coloriage kawaii.</x:v>
      </x:c>
      <x:c r="P24" s="61" t="str">
        <x:v>Footer + checkout.</x:v>
      </x:c>
      <x:c r="Q24" s="62" t="str">
        <x:v>Essentiel pour dropshipping : clarifier delais et suivi.</x:v>
      </x:c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10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8" hidden="0" customWidth="1"/>
    <x:col min="15" max="15" width="56" hidden="0" customWidth="1"/>
    <x:col min="16" max="16" width="26" hidden="0" customWidth="1"/>
  </x:cols>
  <x:sheetData>
    <x:row r="1" ht="34" customHeight="1">
      <x:c r="A1" s="116" t="str">
        <x:v>Collections SEO - 1 collection = 1 mot-cle</x:v>
      </x:c>
      <x:c r="B1" s="116" t="str">
        <x:v>Collections SEO - 1 collection = 1 mot-cle</x:v>
      </x:c>
      <x:c r="C1" s="116" t="str">
        <x:v>Collections SEO - 1 collection = 1 mot-cle</x:v>
      </x:c>
      <x:c r="D1" s="116" t="str">
        <x:v>Collections SEO - 1 collection = 1 mot-cle</x:v>
      </x:c>
      <x:c r="E1" s="116" t="str">
        <x:v>Collections SEO - 1 collection = 1 mot-cle</x:v>
      </x:c>
      <x:c r="F1" s="116" t="str">
        <x:v>Collections SEO - 1 collection = 1 mot-cle</x:v>
      </x:c>
      <x:c r="G1" s="116" t="str">
        <x:v>Collections SEO - 1 collection = 1 mot-cle</x:v>
      </x:c>
      <x:c r="H1" s="116" t="str">
        <x:v>Collections SEO - 1 collection = 1 mot-cle</x:v>
      </x:c>
      <x:c r="I1" s="116" t="str">
        <x:v>Collections SEO - 1 collection = 1 mot-cle</x:v>
      </x:c>
      <x:c r="J1" s="116" t="str">
        <x:v>Collections SEO - 1 collection = 1 mot-cle</x:v>
      </x:c>
      <x:c r="K1" s="116" t="str">
        <x:v>Collections SEO - 1 collection = 1 mot-cle</x:v>
      </x:c>
      <x:c r="L1" s="116" t="str">
        <x:v>Collections SEO - 1 collection = 1 mot-cle</x:v>
      </x:c>
      <x:c r="M1" s="116" t="str">
        <x:v>Collections SEO - 1 collection = 1 mot-cle</x:v>
      </x:c>
      <x:c r="N1" s="116" t="str">
        <x:v>Collections SEO - 1 collection = 1 mot-cle</x:v>
      </x:c>
      <x:c r="O1" s="116" t="str">
        <x:v>Collections SEO - 1 collection = 1 mot-cle</x:v>
      </x:c>
      <x:c r="P1" s="116" t="str">
        <x:v>Collections SEO - 1 collection = 1 mot-cle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</x:row>
    <x:row r="3">
      <x:c r="A3" s="118" t="str">
        <x:v>Ordre</x:v>
      </x:c>
      <x:c r="B3" s="119" t="str">
        <x:v>Pilier</x:v>
      </x:c>
      <x:c r="C3" s="119" t="str">
        <x:v>Collection = mot-cle</x:v>
      </x:c>
      <x:c r="D3" s="119" t="str">
        <x:v>Active</x:v>
      </x:c>
      <x:c r="E3" s="119" t="str">
        <x:v>URL</x:v>
      </x:c>
      <x:c r="F3" s="119" t="str">
        <x:v>Volume FR</x:v>
      </x:c>
      <x:c r="G3" s="119" t="str">
        <x:v>KD</x:v>
      </x:c>
      <x:c r="H3" s="119" t="str">
        <x:v>CPC</x:v>
      </x:c>
      <x:c r="I3" s="119" t="str">
        <x:v>Intention</x:v>
      </x:c>
      <x:c r="J3" s="119" t="str">
        <x:v>Priorite</x:v>
      </x:c>
      <x:c r="K3" s="119" t="str">
        <x:v>SKU cible</x:v>
      </x:c>
      <x:c r="L3" s="119" t="str">
        <x:v>Prix moyen cible</x:v>
      </x:c>
      <x:c r="M3" s="119" t="str">
        <x:v>Score SEO</x:v>
      </x:c>
      <x:c r="N3" s="119" t="str">
        <x:v>Role commercial</x:v>
      </x:c>
      <x:c r="O3" s="119" t="str">
        <x:v>Brief collection</x:v>
      </x:c>
      <x:c r="P3" s="120" t="str">
        <x:v>Source CSV keyword</x:v>
      </x:c>
    </x:row>
    <x:row r="4">
      <x:c r="A4" s="54" t="n">
        <x:v>1</x:v>
      </x:c>
      <x:c r="B4" s="55" t="str">
        <x:v>Coloriages</x:v>
      </x:c>
      <x:c r="C4" s="55" t="str">
        <x:v>coloriage kawaii</x:v>
      </x:c>
      <x:c r="D4" s="55" t="str">
        <x:v>Oui</x:v>
      </x:c>
      <x:c r="E4" s="55" t="str">
        <x:v>/collections/coloriage-kawaii</x:v>
      </x:c>
      <x:c r="F4" s="78" t="n">
        <x:v>38000</x:v>
      </x:c>
      <x:c r="G4" s="84" t="n">
        <x:v>1</x:v>
      </x:c>
      <x:c r="H4" s="90" t="n">
        <x:v>0.06</x:v>
      </x:c>
      <x:c r="I4" s="55" t="str">
        <x:v>Transactionnelle</x:v>
      </x:c>
      <x:c r="J4" s="55" t="str">
        <x:v>P1</x:v>
      </x:c>
      <x:c r="K4" s="78" t="n">
        <x:v>45</x:v>
      </x:c>
      <x:c r="L4" s="90" t="n">
        <x:v>24.9</x:v>
      </x:c>
      <x:c r="M4" s="78" t="n">
        <x:f>ROUND((F4/(G4+1))*IF(J4="P1",1.2,IF(J4="P2",1,0.8)),0)</x:f>
        <x:v>22800</x:v>
      </x:c>
      <x:c r="N4" s="55" t="str">
        <x:v>Collection pilier SEO et commerciale</x:v>
      </x:c>
      <x:c r="O4" s="55" t="str">
        <x:v>Livres, carnets, packs imprimés, bundles découverte. Page mère à mailler vers tous les thèmes kawaii.</x:v>
      </x:c>
      <x:c r="P4" s="56" t="str">
        <x:v>coloriage kawaii</x:v>
      </x:c>
    </x:row>
    <x:row r="5">
      <x:c r="A5" s="57" t="n">
        <x:v>2</x:v>
      </x:c>
      <x:c r="B5" s="58" t="str">
        <x:v>Coloriages</x:v>
      </x:c>
      <x:c r="C5" s="58" t="str">
        <x:v>coloriage adulte</x:v>
      </x:c>
      <x:c r="D5" s="58" t="str">
        <x:v>Oui</x:v>
      </x:c>
      <x:c r="E5" s="58" t="str">
        <x:v>/collections/coloriage-adulte</x:v>
      </x:c>
      <x:c r="F5" s="79" t="n">
        <x:v>15000</x:v>
      </x:c>
      <x:c r="G5" s="85" t="n">
        <x:v>0</x:v>
      </x:c>
      <x:c r="H5" s="91" t="n">
        <x:v>0.1</x:v>
      </x:c>
      <x:c r="I5" s="58" t="str">
        <x:v>Commerciale</x:v>
      </x:c>
      <x:c r="J5" s="58" t="str">
        <x:v>P1</x:v>
      </x:c>
      <x:c r="K5" s="79" t="n">
        <x:v>35</x:v>
      </x:c>
      <x:c r="L5" s="91" t="n">
        <x:v>29.9</x:v>
      </x:c>
      <x:c r="M5" s="79" t="n">
        <x:f>ROUND((F5/(G5+1))*IF(J5="P1",1.2,IF(J5="P2",1,0.8)),0)</x:f>
        <x:v>18000</x:v>
      </x:c>
      <x:c r="N5" s="58" t="str">
        <x:v>Segment panier plus élevé</x:v>
      </x:c>
      <x:c r="O5" s="58" t="str">
        <x:v>Cahiers anti-stress, mandalas kawaii, carnets premium papier épais, packs feutres + livre.</x:v>
      </x:c>
      <x:c r="P5" s="59" t="str">
        <x:v>coloriage adulte</x:v>
      </x:c>
    </x:row>
    <x:row r="6">
      <x:c r="A6" s="57" t="n">
        <x:v>3</x:v>
      </x:c>
      <x:c r="B6" s="58" t="str">
        <x:v>Coloriages</x:v>
      </x:c>
      <x:c r="C6" s="58" t="str">
        <x:v>coloriage magique</x:v>
      </x:c>
      <x:c r="D6" s="58" t="str">
        <x:v>Oui</x:v>
      </x:c>
      <x:c r="E6" s="58" t="str">
        <x:v>/collections/coloriage-magique</x:v>
      </x:c>
      <x:c r="F6" s="79" t="n">
        <x:v>13000</x:v>
      </x:c>
      <x:c r="G6" s="85" t="n">
        <x:v>3</x:v>
      </x:c>
      <x:c r="H6" s="91" t="n">
        <x:v>0.08</x:v>
      </x:c>
      <x:c r="I6" s="58" t="str">
        <x:v>Commerciale</x:v>
      </x:c>
      <x:c r="J6" s="58" t="str">
        <x:v>P1</x:v>
      </x:c>
      <x:c r="K6" s="79" t="n">
        <x:v>30</x:v>
      </x:c>
      <x:c r="L6" s="91" t="n">
        <x:v>22.9</x:v>
      </x:c>
      <x:c r="M6" s="79" t="n">
        <x:f>ROUND((F6/(G6+1))*IF(J6="P1",1.2,IF(J6="P2",1,0.8)),0)</x:f>
        <x:v>3900</x:v>
      </x:c>
      <x:c r="N6" s="58" t="str">
        <x:v>Collection enfant/giftable</x:v>
      </x:c>
      <x:c r="O6" s="58" t="str">
        <x:v>Livres à révélation, feutres magiques, cahiers effaçables, packs cadeaux anniversaire.</x:v>
      </x:c>
      <x:c r="P6" s="59" t="str">
        <x:v>coloriage magique</x:v>
      </x:c>
    </x:row>
    <x:row r="7">
      <x:c r="A7" s="57" t="n">
        <x:v>4</x:v>
      </x:c>
      <x:c r="B7" s="58" t="str">
        <x:v>Coloriages</x:v>
      </x:c>
      <x:c r="C7" s="58" t="str">
        <x:v>coloriage mystere</x:v>
      </x:c>
      <x:c r="D7" s="58" t="str">
        <x:v>Oui</x:v>
      </x:c>
      <x:c r="E7" s="58" t="str">
        <x:v>/collections/coloriage-mystere</x:v>
      </x:c>
      <x:c r="F7" s="79" t="n">
        <x:v>12000</x:v>
      </x:c>
      <x:c r="G7" s="85" t="n">
        <x:v>0</x:v>
      </x:c>
      <x:c r="H7" s="91" t="n">
        <x:v>0.09</x:v>
      </x:c>
      <x:c r="I7" s="58" t="str">
        <x:v>Transactionnelle</x:v>
      </x:c>
      <x:c r="J7" s="58" t="str">
        <x:v>P1</x:v>
      </x:c>
      <x:c r="K7" s="79" t="n">
        <x:v>30</x:v>
      </x:c>
      <x:c r="L7" s="91" t="n">
        <x:v>24.9</x:v>
      </x:c>
      <x:c r="M7" s="79" t="n">
        <x:f>ROUND((F7/(G7+1))*IF(J7="P1",1.2,IF(J7="P2",1,0.8)),0)</x:f>
        <x:v>14400</x:v>
      </x:c>
      <x:c r="N7" s="58" t="str">
        <x:v>Angle découverte et retention</x:v>
      </x:c>
      <x:c r="O7" s="58" t="str">
        <x:v>Coloriages mystères par numéros, pixels kawaii, animaux cachés, cartes surprises.</x:v>
      </x:c>
      <x:c r="P7" s="59" t="str">
        <x:v>coloriage mystere</x:v>
      </x:c>
    </x:row>
    <x:row r="8">
      <x:c r="A8" s="57" t="n">
        <x:v>5</x:v>
      </x:c>
      <x:c r="B8" s="58" t="str">
        <x:v>Coloriages</x:v>
      </x:c>
      <x:c r="C8" s="58" t="str">
        <x:v>coloriage cosy</x:v>
      </x:c>
      <x:c r="D8" s="58" t="str">
        <x:v>Oui</x:v>
      </x:c>
      <x:c r="E8" s="58" t="str">
        <x:v>/collections/coloriage-cosy</x:v>
      </x:c>
      <x:c r="F8" s="79" t="n">
        <x:v>9200</x:v>
      </x:c>
      <x:c r="G8" s="85" t="n">
        <x:v>0</x:v>
      </x:c>
      <x:c r="H8" s="91" t="n">
        <x:v>0.11</x:v>
      </x:c>
      <x:c r="I8" s="58" t="str">
        <x:v>Commerciale</x:v>
      </x:c>
      <x:c r="J8" s="58" t="str">
        <x:v>P1</x:v>
      </x:c>
      <x:c r="K8" s="79" t="n">
        <x:v>30</x:v>
      </x:c>
      <x:c r="L8" s="91" t="n">
        <x:v>27.9</x:v>
      </x:c>
      <x:c r="M8" s="79" t="n">
        <x:f>ROUND((F8/(G8+1))*IF(J8="P1",1.2,IF(J8="P2",1,0.8)),0)</x:f>
        <x:v>11040</x:v>
      </x:c>
      <x:c r="N8" s="58" t="str">
        <x:v>Positionnement marque cosy</x:v>
      </x:c>
      <x:c r="O8" s="58" t="str">
        <x:v>Univers cocooning : chats, thé, maison, automne, journaling, packs relaxation.</x:v>
      </x:c>
      <x:c r="P8" s="59" t="str">
        <x:v>coloriage cosy</x:v>
      </x:c>
    </x:row>
    <x:row r="9">
      <x:c r="A9" s="57" t="n">
        <x:v>6</x:v>
      </x:c>
      <x:c r="B9" s="58" t="str">
        <x:v>Coloriages</x:v>
      </x:c>
      <x:c r="C9" s="58" t="str">
        <x:v>coloriage manga</x:v>
      </x:c>
      <x:c r="D9" s="58" t="str">
        <x:v>Oui</x:v>
      </x:c>
      <x:c r="E9" s="58" t="str">
        <x:v>/collections/coloriage-manga</x:v>
      </x:c>
      <x:c r="F9" s="79" t="n">
        <x:v>7000</x:v>
      </x:c>
      <x:c r="G9" s="85" t="n">
        <x:v>0</x:v>
      </x:c>
      <x:c r="H9" s="91" t="n">
        <x:v>0.07</x:v>
      </x:c>
      <x:c r="I9" s="58" t="str">
        <x:v>Commerciale</x:v>
      </x:c>
      <x:c r="J9" s="58" t="str">
        <x:v>P2</x:v>
      </x:c>
      <x:c r="K9" s="79" t="n">
        <x:v>25</x:v>
      </x:c>
      <x:c r="L9" s="91" t="n">
        <x:v>24.9</x:v>
      </x:c>
      <x:c r="M9" s="79" t="n">
        <x:f>ROUND((F9/(G9+1))*IF(J9="P1",1.2,IF(J9="P2",1,0.8)),0)</x:f>
        <x:v>7000</x:v>
      </x:c>
      <x:c r="N9" s="58" t="str">
        <x:v>Trafic passion mais IP-safe</x:v>
      </x:c>
      <x:c r="O9" s="58" t="str">
        <x:v>Personnages originaux manga/chibi, expressions, tenues, cahiers apprentissage dessin.</x:v>
      </x:c>
      <x:c r="P9" s="59" t="str">
        <x:v>coloriage manga</x:v>
      </x:c>
    </x:row>
    <x:row r="10">
      <x:c r="A10" s="57" t="n">
        <x:v>7</x:v>
      </x:c>
      <x:c r="B10" s="58" t="str">
        <x:v>Coloriages</x:v>
      </x:c>
      <x:c r="C10" s="58" t="str">
        <x:v>coloriage foot</x:v>
      </x:c>
      <x:c r="D10" s="58" t="str">
        <x:v>Oui</x:v>
      </x:c>
      <x:c r="E10" s="58" t="str">
        <x:v>/collections/coloriage-foot</x:v>
      </x:c>
      <x:c r="F10" s="79" t="n">
        <x:v>6600</x:v>
      </x:c>
      <x:c r="G10" s="85" t="n">
        <x:v>0</x:v>
      </x:c>
      <x:c r="H10" s="91" t="n">
        <x:v>0.06</x:v>
      </x:c>
      <x:c r="I10" s="58" t="str">
        <x:v>Commerciale</x:v>
      </x:c>
      <x:c r="J10" s="58" t="str">
        <x:v>P2</x:v>
      </x:c>
      <x:c r="K10" s="79" t="n">
        <x:v>25</x:v>
      </x:c>
      <x:c r="L10" s="91" t="n">
        <x:v>19.9</x:v>
      </x:c>
      <x:c r="M10" s="79" t="n">
        <x:f>ROUND((F10/(G10+1))*IF(J10="P1",1.2,IF(J10="P2",1,0.8)),0)</x:f>
        <x:v>6600</x:v>
      </x:c>
      <x:c r="N10" s="58" t="str">
        <x:v>Collection cadeau enfant</x:v>
      </x:c>
      <x:c r="O10" s="58" t="str">
        <x:v>Coloriages football génériques, maillots non licenciés, trophées, ballons, activités anniversaire.</x:v>
      </x:c>
      <x:c r="P10" s="59" t="str">
        <x:v>coloriage foot</x:v>
      </x:c>
    </x:row>
    <x:row r="11">
      <x:c r="A11" s="57" t="n">
        <x:v>8</x:v>
      </x:c>
      <x:c r="B11" s="58" t="str">
        <x:v>Coloriages</x:v>
      </x:c>
      <x:c r="C11" s="58" t="str">
        <x:v>coloriage fille</x:v>
      </x:c>
      <x:c r="D11" s="58" t="str">
        <x:v>Oui</x:v>
      </x:c>
      <x:c r="E11" s="58" t="str">
        <x:v>/collections/coloriage-fille</x:v>
      </x:c>
      <x:c r="F11" s="79" t="n">
        <x:v>6600</x:v>
      </x:c>
      <x:c r="G11" s="85" t="n">
        <x:v>0</x:v>
      </x:c>
      <x:c r="H11" s="91" t="str"/>
      <x:c r="I11" s="58" t="str">
        <x:v>Commerciale</x:v>
      </x:c>
      <x:c r="J11" s="58" t="str">
        <x:v>P2</x:v>
      </x:c>
      <x:c r="K11" s="79" t="n">
        <x:v>25</x:v>
      </x:c>
      <x:c r="L11" s="91" t="n">
        <x:v>19.9</x:v>
      </x:c>
      <x:c r="M11" s="79" t="n">
        <x:f>ROUND((F11/(G11+1))*IF(J11="P1",1.2,IF(J11="P2",1,0.8)),0)</x:f>
        <x:v>6600</x:v>
      </x:c>
      <x:c r="N11" s="58" t="str">
        <x:v>Requête large enfant</x:v>
      </x:c>
      <x:c r="O11" s="58" t="str">
        <x:v>Licornes, animaux mignons, sirènes, mode, stickers. Attention à garder un wording inclusif en site.</x:v>
      </x:c>
      <x:c r="P11" s="59" t="str">
        <x:v>coloriage fille</x:v>
      </x:c>
    </x:row>
    <x:row r="12">
      <x:c r="A12" s="57" t="n">
        <x:v>9</x:v>
      </x:c>
      <x:c r="B12" s="58" t="str">
        <x:v>Coloriages</x:v>
      </x:c>
      <x:c r="C12" s="58" t="str">
        <x:v>coloriage kawaii fille</x:v>
      </x:c>
      <x:c r="D12" s="58" t="str">
        <x:v>Oui</x:v>
      </x:c>
      <x:c r="E12" s="58" t="str">
        <x:v>/collections/coloriage-kawaii-fille</x:v>
      </x:c>
      <x:c r="F12" s="79" t="n">
        <x:v>4800</x:v>
      </x:c>
      <x:c r="G12" s="85" t="n">
        <x:v>1</x:v>
      </x:c>
      <x:c r="H12" s="91" t="str"/>
      <x:c r="I12" s="58" t="str">
        <x:v>Transactionnelle</x:v>
      </x:c>
      <x:c r="J12" s="58" t="str">
        <x:v>P2</x:v>
      </x:c>
      <x:c r="K12" s="79" t="n">
        <x:v>25</x:v>
      </x:c>
      <x:c r="L12" s="91" t="n">
        <x:v>19.9</x:v>
      </x:c>
      <x:c r="M12" s="79" t="n">
        <x:f>ROUND((F12/(G12+1))*IF(J12="P1",1.2,IF(J12="P2",1,0.8)),0)</x:f>
        <x:v>2400</x:v>
      </x:c>
      <x:c r="N12" s="58" t="str">
        <x:v>Longue traîne transactionnelle</x:v>
      </x:c>
      <x:c r="O12" s="58" t="str">
        <x:v>Déclinaison plus ciblée de la page pilier, à mailler depuis coloriage kawaii et coloriage fille.</x:v>
      </x:c>
      <x:c r="P12" s="59" t="str">
        <x:v>coloriage kawaii fille</x:v>
      </x:c>
    </x:row>
    <x:row r="13">
      <x:c r="A13" s="57" t="n">
        <x:v>10</x:v>
      </x:c>
      <x:c r="B13" s="58" t="str">
        <x:v>Thèmes kawaii</x:v>
      </x:c>
      <x:c r="C13" s="58" t="str">
        <x:v>chat kawaii</x:v>
      </x:c>
      <x:c r="D13" s="58" t="str">
        <x:v>Oui</x:v>
      </x:c>
      <x:c r="E13" s="58" t="str">
        <x:v>/collections/chat-kawaii</x:v>
      </x:c>
      <x:c r="F13" s="79" t="n">
        <x:v>4200</x:v>
      </x:c>
      <x:c r="G13" s="85" t="n">
        <x:v>0</x:v>
      </x:c>
      <x:c r="H13" s="91" t="n">
        <x:v>0.06</x:v>
      </x:c>
      <x:c r="I13" s="58" t="str">
        <x:v>Commerciale</x:v>
      </x:c>
      <x:c r="J13" s="58" t="str">
        <x:v>P2</x:v>
      </x:c>
      <x:c r="K13" s="79" t="n">
        <x:v>20</x:v>
      </x:c>
      <x:c r="L13" s="91" t="n">
        <x:v>22.9</x:v>
      </x:c>
      <x:c r="M13" s="79" t="n">
        <x:f>ROUND((F13/(G13+1))*IF(J13="P1",1.2,IF(J13="P2",1,0.8)),0)</x:f>
        <x:v>4200</x:v>
      </x:c>
      <x:c r="N13" s="58" t="str">
        <x:v>Thème très brandable</x:v>
      </x:c>
      <x:c r="O13" s="58" t="str">
        <x:v>Collection de livres, stickers, marque-pages et mini kits autour du chat kawaii.</x:v>
      </x:c>
      <x:c r="P13" s="59" t="str">
        <x:v>chat kawaii</x:v>
      </x:c>
    </x:row>
    <x:row r="14">
      <x:c r="A14" s="57" t="n">
        <x:v>11</x:v>
      </x:c>
      <x:c r="B14" s="58" t="str">
        <x:v>Accessoires</x:v>
      </x:c>
      <x:c r="C14" s="58" t="str">
        <x:v>feutre acrylique</x:v>
      </x:c>
      <x:c r="D14" s="58" t="str">
        <x:v>Oui</x:v>
      </x:c>
      <x:c r="E14" s="58" t="str">
        <x:v>/collections/feutre-acrylique</x:v>
      </x:c>
      <x:c r="F14" s="79" t="n">
        <x:v>33000</x:v>
      </x:c>
      <x:c r="G14" s="85" t="n">
        <x:v>0</x:v>
      </x:c>
      <x:c r="H14" s="91" t="n">
        <x:v>0.16</x:v>
      </x:c>
      <x:c r="I14" s="58" t="str">
        <x:v>Transactionnelle</x:v>
      </x:c>
      <x:c r="J14" s="58" t="str">
        <x:v>P1</x:v>
      </x:c>
      <x:c r="K14" s="79" t="n">
        <x:v>40</x:v>
      </x:c>
      <x:c r="L14" s="91" t="n">
        <x:v>29.9</x:v>
      </x:c>
      <x:c r="M14" s="79" t="n">
        <x:f>ROUND((F14/(G14+1))*IF(J14="P1",1.2,IF(J14="P2",1,0.8)),0)</x:f>
        <x:v>39600</x:v>
      </x:c>
      <x:c r="N14" s="58" t="str">
        <x:v>Monétisation accessoire forte</x:v>
      </x:c>
      <x:c r="O14" s="58" t="str">
        <x:v>Sets de feutres, pointes fines, packs couleurs pastel, bundle avec cahiers papier épais.</x:v>
      </x:c>
      <x:c r="P14" s="59" t="str">
        <x:v>feutre acrylique</x:v>
      </x:c>
    </x:row>
    <x:row r="15">
      <x:c r="A15" s="57" t="n">
        <x:v>12</x:v>
      </x:c>
      <x:c r="B15" s="58" t="str">
        <x:v>Accessoires</x:v>
      </x:c>
      <x:c r="C15" s="58" t="str">
        <x:v>feutre a alcool</x:v>
      </x:c>
      <x:c r="D15" s="58" t="str">
        <x:v>Oui</x:v>
      </x:c>
      <x:c r="E15" s="58" t="str">
        <x:v>/collections/feutre-a-alcool</x:v>
      </x:c>
      <x:c r="F15" s="79" t="n">
        <x:v>5400</x:v>
      </x:c>
      <x:c r="G15" s="85" t="n">
        <x:v>0</x:v>
      </x:c>
      <x:c r="H15" s="91" t="n">
        <x:v>0.21</x:v>
      </x:c>
      <x:c r="I15" s="58" t="str">
        <x:v>Transactionnelle</x:v>
      </x:c>
      <x:c r="J15" s="58" t="str">
        <x:v>P2</x:v>
      </x:c>
      <x:c r="K15" s="79" t="n">
        <x:v>30</x:v>
      </x:c>
      <x:c r="L15" s="91" t="n">
        <x:v>34.9</x:v>
      </x:c>
      <x:c r="M15" s="79" t="n">
        <x:f>ROUND((F15/(G15+1))*IF(J15="P1",1.2,IF(J15="P2",1,0.8)),0)</x:f>
        <x:v>5400</x:v>
      </x:c>
      <x:c r="N15" s="58" t="str">
        <x:v>Panier moyen et upsell</x:v>
      </x:c>
      <x:c r="O15" s="58" t="str">
        <x:v>Sets alcohol markers, nuanciers, pochettes rangement, packs débutant et premium.</x:v>
      </x:c>
      <x:c r="P15" s="59" t="str">
        <x:v>feutre a alcool</x:v>
      </x:c>
    </x:row>
    <x:row r="16">
      <x:c r="A16" s="57" t="n">
        <x:v>13</x:v>
      </x:c>
      <x:c r="B16" s="58" t="str">
        <x:v>Accessoires</x:v>
      </x:c>
      <x:c r="C16" s="58" t="str">
        <x:v>trousse kawaii</x:v>
      </x:c>
      <x:c r="D16" s="58" t="str">
        <x:v>Oui</x:v>
      </x:c>
      <x:c r="E16" s="58" t="str">
        <x:v>/collections/trousse-kawaii</x:v>
      </x:c>
      <x:c r="F16" s="79" t="n">
        <x:v>3800</x:v>
      </x:c>
      <x:c r="G16" s="85" t="n">
        <x:v>0</x:v>
      </x:c>
      <x:c r="H16" s="91" t="n">
        <x:v>0.14</x:v>
      </x:c>
      <x:c r="I16" s="58" t="str">
        <x:v>Transactionnelle</x:v>
      </x:c>
      <x:c r="J16" s="58" t="str">
        <x:v>P2</x:v>
      </x:c>
      <x:c r="K16" s="79" t="n">
        <x:v>20</x:v>
      </x:c>
      <x:c r="L16" s="91" t="n">
        <x:v>19.9</x:v>
      </x:c>
      <x:c r="M16" s="79" t="n">
        <x:f>ROUND((F16/(G16+1))*IF(J16="P1",1.2,IF(J16="P2",1,0.8)),0)</x:f>
        <x:v>3800</x:v>
      </x:c>
      <x:c r="N16" s="58" t="str">
        <x:v>Produit léger et cadeau</x:v>
      </x:c>
      <x:c r="O16" s="58" t="str">
        <x:v>Trousses mignonnes, pochettes feutres, rangement coloriage, lots rentrée.</x:v>
      </x:c>
      <x:c r="P16" s="59" t="str">
        <x:v>trousse kawaii</x:v>
      </x:c>
    </x:row>
    <x:row r="17">
      <x:c r="A17" s="57" t="n">
        <x:v>14</x:v>
      </x:c>
      <x:c r="B17" s="58" t="str">
        <x:v>Cadeaux creatifs</x:v>
      </x:c>
      <x:c r="C17" s="58" t="str">
        <x:v>marque page personnalisé</x:v>
      </x:c>
      <x:c r="D17" s="58" t="str">
        <x:v>Oui</x:v>
      </x:c>
      <x:c r="E17" s="58" t="str">
        <x:v>/collections/marque-page-personnalise</x:v>
      </x:c>
      <x:c r="F17" s="79" t="n">
        <x:v>3700</x:v>
      </x:c>
      <x:c r="G17" s="85" t="n">
        <x:v>1</x:v>
      </x:c>
      <x:c r="H17" s="91" t="n">
        <x:v>0.42</x:v>
      </x:c>
      <x:c r="I17" s="58" t="str">
        <x:v>Transactionnelle</x:v>
      </x:c>
      <x:c r="J17" s="58" t="str">
        <x:v>P2</x:v>
      </x:c>
      <x:c r="K17" s="79" t="n">
        <x:v>20</x:v>
      </x:c>
      <x:c r="L17" s="91" t="n">
        <x:v>14.9</x:v>
      </x:c>
      <x:c r="M17" s="79" t="n">
        <x:f>ROUND((F17/(G17+1))*IF(J17="P1",1.2,IF(J17="P2",1,0.8)),0)</x:f>
        <x:v>1850</x:v>
      </x:c>
      <x:c r="N17" s="58" t="str">
        <x:v>AOV par personnalisation</x:v>
      </x:c>
      <x:c r="O17" s="58" t="str">
        <x:v>Marque-pages prénom, chats, fleurs, citations, lots de 3 et bundle cahier.</x:v>
      </x:c>
      <x:c r="P17" s="59" t="str">
        <x:v>marque page personnalisé</x:v>
      </x:c>
    </x:row>
    <x:row r="18">
      <x:c r="A18" s="60" t="n">
        <x:v>15</x:v>
      </x:c>
      <x:c r="B18" s="61" t="str">
        <x:v>Cadeaux creatifs</x:v>
      </x:c>
      <x:c r="C18" s="61" t="str">
        <x:v>diamond painting personnalisé</x:v>
      </x:c>
      <x:c r="D18" s="61" t="str">
        <x:v>Oui</x:v>
      </x:c>
      <x:c r="E18" s="61" t="str">
        <x:v>/collections/diamond-painting-personnalise</x:v>
      </x:c>
      <x:c r="F18" s="80" t="n">
        <x:v>6000</x:v>
      </x:c>
      <x:c r="G18" s="86" t="n">
        <x:v>2</x:v>
      </x:c>
      <x:c r="H18" s="92" t="n">
        <x:v>0.71</x:v>
      </x:c>
      <x:c r="I18" s="61" t="str">
        <x:v>Transactionnelle</x:v>
      </x:c>
      <x:c r="J18" s="61" t="str">
        <x:v>P2</x:v>
      </x:c>
      <x:c r="K18" s="80" t="n">
        <x:v>30</x:v>
      </x:c>
      <x:c r="L18" s="92" t="n">
        <x:v>34.9</x:v>
      </x:c>
      <x:c r="M18" s="80" t="n">
        <x:f>ROUND((F18/(G18+1))*IF(J18="P1",1.2,IF(J18="P2",1,0.8)),0)</x:f>
        <x:v>2000</x:v>
      </x:c>
      <x:c r="N18" s="61" t="str">
        <x:v>Produit cadeau à marge</x:v>
      </x:c>
      <x:c r="O18" s="61" t="str">
        <x:v>Kits personnalisés, formats petits faciles à expédier, modèles animaux kawaii.</x:v>
      </x:c>
      <x:c r="P18" s="62" t="str">
        <x:v>diamond painting personnalisé</x:v>
      </x:c>
    </x:row>
  </x:sheetData>
  <x:mergeCells>
    <x:mergeCell ref="A1:P1"/>
  </x:mergeCells>
  <x:dataValidations count="2">
    <x:dataValidation type="list" sqref="D4:D18">
      <x:formula1>"Oui,Non"</x:formula1>
    </x:dataValidation>
    <x:dataValidation type="list" sqref="J4:J18">
      <x:formula1>"P1,P2,P3"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2" hidden="0" customWidth="1"/>
    <x:col min="5" max="5" width="45" hidden="0" customWidth="1"/>
    <x:col min="6" max="6" width="58" hidden="0" customWidth="1"/>
    <x:col min="7" max="7" width="34" hidden="0" customWidth="1"/>
    <x:col min="8" max="8" width="38" hidden="0" customWidth="1"/>
    <x:col min="9" max="9" width="10" hidden="0" customWidth="1"/>
    <x:col min="10" max="10" width="42" hidden="0" customWidth="1"/>
  </x:cols>
  <x:sheetData>
    <x:row r="1" ht="34" customHeight="1">
      <x:c r="A1" s="116" t="str">
        <x:v>Plan SKU - 300+ produits sans sortir du theme</x:v>
      </x:c>
      <x:c r="B1" s="116" t="str">
        <x:v>Plan SKU - 300+ produits sans sortir du theme</x:v>
      </x:c>
      <x:c r="C1" s="116" t="str">
        <x:v>Plan SKU - 300+ produits sans sortir du theme</x:v>
      </x:c>
      <x:c r="D1" s="116" t="str">
        <x:v>Plan SKU - 300+ produits sans sortir du theme</x:v>
      </x:c>
      <x:c r="E1" s="116" t="str">
        <x:v>Plan SKU - 300+ produits sans sortir du theme</x:v>
      </x:c>
      <x:c r="F1" s="116" t="str">
        <x:v>Plan SKU - 300+ produits sans sortir du theme</x:v>
      </x:c>
      <x:c r="G1" s="116" t="str">
        <x:v>Plan SKU - 300+ produits sans sortir du theme</x:v>
      </x:c>
      <x:c r="H1" s="116" t="str">
        <x:v>Plan SKU - 300+ produits sans sortir du theme</x:v>
      </x:c>
      <x:c r="I1" s="116" t="str">
        <x:v>Plan SKU - 300+ produits sans sortir du theme</x:v>
      </x:c>
      <x:c r="J1" s="116" t="str">
        <x:v>Plan SKU - 300+ produits sans sortir du theme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</x:row>
    <x:row r="3">
      <x:c r="A3" s="118" t="str">
        <x:v>Collection = mot-cle</x:v>
      </x:c>
      <x:c r="B3" s="119" t="str">
        <x:v>Pilier</x:v>
      </x:c>
      <x:c r="C3" s="119" t="str">
        <x:v>SKU cible</x:v>
      </x:c>
      <x:c r="D3" s="119" t="str">
        <x:v>Prix moyen cible</x:v>
      </x:c>
      <x:c r="E3" s="119" t="str">
        <x:v>Repartition SKU</x:v>
      </x:c>
      <x:c r="F3" s="119" t="str">
        <x:v>Exemples produits</x:v>
      </x:c>
      <x:c r="G3" s="119" t="str">
        <x:v>Bundle prioritaire</x:v>
      </x:c>
      <x:c r="H3" s="119" t="str">
        <x:v>Recherche sourcing AliExpress</x:v>
      </x:c>
      <x:c r="I3" s="119" t="str">
        <x:v>Priorite</x:v>
      </x:c>
      <x:c r="J3" s="120" t="str">
        <x:v>Risque a eviter</x:v>
      </x:c>
    </x:row>
    <x:row r="4">
      <x:c r="A4" s="54" t="str">
        <x:v>coloriage kawaii</x:v>
      </x:c>
      <x:c r="B4" s="55" t="str">
        <x:v>Coloriages</x:v>
      </x:c>
      <x:c r="C4" s="78" t="n">
        <x:v>45</x:v>
      </x:c>
      <x:c r="D4" s="90" t="n">
        <x:v>24.9</x:v>
      </x:c>
      <x:c r="E4" s="55" t="str">
        <x:v>15 livres thématiques, 10 carnets, 10 packs pages, 5 bundles feutres, 5 éditions cadeau</x:v>
      </x:c>
      <x:c r="F4" s="55" t="str">
        <x:v>Livres, carnets, packs imprimés, bundles découverte. Page mère à mailler vers tous les thèmes kawaii.</x:v>
      </x:c>
      <x:c r="G4" s="55" t="str">
        <x:v>Bundle coloriage kawaii + feutres + marque-page</x:v>
      </x:c>
      <x:c r="H4" s="55" t="str">
        <x:v>kawaii coloring book, cute coloring pages book, kids coloring book bundle</x:v>
      </x:c>
      <x:c r="I4" s="55" t="str">
        <x:v>P1</x:v>
      </x:c>
      <x:c r="J4" s="56" t="str">
        <x:v>Verifier qualite papier, delais, packaging et photos fournisseurs.</x:v>
      </x:c>
    </x:row>
    <x:row r="5">
      <x:c r="A5" s="57" t="str">
        <x:v>coloriage adulte</x:v>
      </x:c>
      <x:c r="B5" s="58" t="str">
        <x:v>Coloriages</x:v>
      </x:c>
      <x:c r="C5" s="79" t="n">
        <x:v>35</x:v>
      </x:c>
      <x:c r="D5" s="91" t="n">
        <x:v>29.9</x:v>
      </x:c>
      <x:c r="E5" s="58" t="str">
        <x:v>12 livres premium, 8 mandalas kawaii, 6 kits relaxation, 5 carnets papier épais, 4 bundles</x:v>
      </x:c>
      <x:c r="F5" s="58" t="str">
        <x:v>Cahiers anti-stress, mandalas kawaii, carnets premium papier épais, packs feutres + livre.</x:v>
      </x:c>
      <x:c r="G5" s="58" t="str">
        <x:v>Bundle coloriage adulte + feutres + marque-page</x:v>
      </x:c>
      <x:c r="H5" s="58" t="str">
        <x:v>adult coloring book, stress relief coloring book, cute mandala coloring</x:v>
      </x:c>
      <x:c r="I5" s="58" t="str">
        <x:v>P1</x:v>
      </x:c>
      <x:c r="J5" s="59" t="str">
        <x:v>Verifier qualite papier, delais, packaging et photos fournisseurs.</x:v>
      </x:c>
    </x:row>
    <x:row r="6">
      <x:c r="A6" s="57" t="str">
        <x:v>coloriage magique</x:v>
      </x:c>
      <x:c r="B6" s="58" t="str">
        <x:v>Coloriages</x:v>
      </x:c>
      <x:c r="C6" s="79" t="n">
        <x:v>30</x:v>
      </x:c>
      <x:c r="D6" s="91" t="n">
        <x:v>22.9</x:v>
      </x:c>
      <x:c r="E6" s="58" t="str">
        <x:v>10 livres eau, 8 feutres magiques, 6 cahiers réutilisables, 4 sets anniversaire, 2 packs voyage</x:v>
      </x:c>
      <x:c r="F6" s="58" t="str">
        <x:v>Livres à révélation, feutres magiques, cahiers effaçables, packs cadeaux anniversaire.</x:v>
      </x:c>
      <x:c r="G6" s="58" t="str">
        <x:v>Bundle coloriage magique + feutres + marque-page</x:v>
      </x:c>
      <x:c r="H6" s="58" t="str">
        <x:v>magic coloring book, reusable coloring book, water coloring book</x:v>
      </x:c>
      <x:c r="I6" s="58" t="str">
        <x:v>P1</x:v>
      </x:c>
      <x:c r="J6" s="59" t="str">
        <x:v>Verifier qualite papier, delais, packaging et photos fournisseurs.</x:v>
      </x:c>
    </x:row>
    <x:row r="7">
      <x:c r="A7" s="57" t="str">
        <x:v>coloriage mystere</x:v>
      </x:c>
      <x:c r="B7" s="58" t="str">
        <x:v>Coloriages</x:v>
      </x:c>
      <x:c r="C7" s="79" t="n">
        <x:v>30</x:v>
      </x:c>
      <x:c r="D7" s="91" t="n">
        <x:v>24.9</x:v>
      </x:c>
      <x:c r="E7" s="58" t="str">
        <x:v>10 livres par numéros, 8 pixel art, 6 cartes mystère, 4 packs animaux, 2 mini formats</x:v>
      </x:c>
      <x:c r="F7" s="58" t="str">
        <x:v>Coloriages mystères par numéros, pixels kawaii, animaux cachés, cartes surprises.</x:v>
      </x:c>
      <x:c r="G7" s="58" t="str">
        <x:v>Bundle coloriage mystere + feutres + marque-page</x:v>
      </x:c>
      <x:c r="H7" s="58" t="str">
        <x:v>mystery coloring book, color by number cute, pixel coloring book</x:v>
      </x:c>
      <x:c r="I7" s="58" t="str">
        <x:v>P1</x:v>
      </x:c>
      <x:c r="J7" s="59" t="str">
        <x:v>Verifier qualite papier, delais, packaging et photos fournisseurs.</x:v>
      </x:c>
    </x:row>
    <x:row r="8">
      <x:c r="A8" s="57" t="str">
        <x:v>coloriage cosy</x:v>
      </x:c>
      <x:c r="B8" s="58" t="str">
        <x:v>Coloriages</x:v>
      </x:c>
      <x:c r="C8" s="79" t="n">
        <x:v>30</x:v>
      </x:c>
      <x:c r="D8" s="91" t="n">
        <x:v>27.9</x:v>
      </x:c>
      <x:c r="E8" s="58" t="str">
        <x:v>10 livres cocooning, 6 automne, 5 chats, 5 cottagecore, 4 bundles détente</x:v>
      </x:c>
      <x:c r="F8" s="58" t="str">
        <x:v>Univers cocooning : chats, thé, maison, automne, journaling, packs relaxation.</x:v>
      </x:c>
      <x:c r="G8" s="58" t="str">
        <x:v>Bundle coloriage cosy + feutres + marque-page</x:v>
      </x:c>
      <x:c r="H8" s="58" t="str">
        <x:v>cozy coloring book, cottagecore coloring book, cute home coloring</x:v>
      </x:c>
      <x:c r="I8" s="58" t="str">
        <x:v>P1</x:v>
      </x:c>
      <x:c r="J8" s="59" t="str">
        <x:v>Verifier qualite papier, delais, packaging et photos fournisseurs.</x:v>
      </x:c>
    </x:row>
    <x:row r="9">
      <x:c r="A9" s="57" t="str">
        <x:v>coloriage manga</x:v>
      </x:c>
      <x:c r="B9" s="58" t="str">
        <x:v>Coloriages</x:v>
      </x:c>
      <x:c r="C9" s="79" t="n">
        <x:v>25</x:v>
      </x:c>
      <x:c r="D9" s="91" t="n">
        <x:v>24.9</x:v>
      </x:c>
      <x:c r="E9" s="58" t="str">
        <x:v>8 chibi, 6 personnages originaux, 5 expressions, 4 tenues, 2 apprentissage dessin</x:v>
      </x:c>
      <x:c r="F9" s="58" t="str">
        <x:v>Personnages originaux manga/chibi, expressions, tenues, cahiers apprentissage dessin.</x:v>
      </x:c>
      <x:c r="G9" s="58" t="str">
        <x:v>Bundle coloriage manga + feutres + marque-page</x:v>
      </x:c>
      <x:c r="H9" s="58" t="str">
        <x:v>manga coloring book, chibi coloring book, anime style coloring book</x:v>
      </x:c>
      <x:c r="I9" s="58" t="str">
        <x:v>P2</x:v>
      </x:c>
      <x:c r="J9" s="59" t="str">
        <x:v>Eviter personnages sous licence et visuels copies.</x:v>
      </x:c>
    </x:row>
    <x:row r="10">
      <x:c r="A10" s="57" t="str">
        <x:v>coloriage foot</x:v>
      </x:c>
      <x:c r="B10" s="58" t="str">
        <x:v>Coloriages</x:v>
      </x:c>
      <x:c r="C10" s="79" t="n">
        <x:v>25</x:v>
      </x:c>
      <x:c r="D10" s="91" t="n">
        <x:v>19.9</x:v>
      </x:c>
      <x:c r="E10" s="58" t="str">
        <x:v>8 cahiers football, 6 packs anniversaire, 5 ballons/trophées, 4 mini livres, 2 stickers</x:v>
      </x:c>
      <x:c r="F10" s="58" t="str">
        <x:v>Coloriages football génériques, maillots non licenciés, trophées, ballons, activités anniversaire.</x:v>
      </x:c>
      <x:c r="G10" s="58" t="str">
        <x:v>Bundle coloriage foot + feutres + marque-page</x:v>
      </x:c>
      <x:c r="H10" s="58" t="str">
        <x:v>football coloring book, soccer coloring pages book, sports coloring book</x:v>
      </x:c>
      <x:c r="I10" s="58" t="str">
        <x:v>P2</x:v>
      </x:c>
      <x:c r="J10" s="59" t="str">
        <x:v>Verifier qualite papier, delais, packaging et photos fournisseurs.</x:v>
      </x:c>
    </x:row>
    <x:row r="11">
      <x:c r="A11" s="57" t="str">
        <x:v>coloriage fille</x:v>
      </x:c>
      <x:c r="B11" s="58" t="str">
        <x:v>Coloriages</x:v>
      </x:c>
      <x:c r="C11" s="79" t="n">
        <x:v>25</x:v>
      </x:c>
      <x:c r="D11" s="91" t="n">
        <x:v>19.9</x:v>
      </x:c>
      <x:c r="E11" s="58" t="str">
        <x:v>8 licornes, 6 animaux, 5 sirènes, 4 mode, 2 packs stickers</x:v>
      </x:c>
      <x:c r="F11" s="58" t="str">
        <x:v>Licornes, animaux mignons, sirènes, mode, stickers. Attention à garder un wording inclusif en site.</x:v>
      </x:c>
      <x:c r="G11" s="58" t="str">
        <x:v>Bundle coloriage fille + feutres + marque-page</x:v>
      </x:c>
      <x:c r="H11" s="58" t="str">
        <x:v>girls coloring book, unicorn coloring book, cute animals coloring</x:v>
      </x:c>
      <x:c r="I11" s="58" t="str">
        <x:v>P2</x:v>
      </x:c>
      <x:c r="J11" s="59" t="str">
        <x:v>Verifier qualite papier, delais, packaging et photos fournisseurs.</x:v>
      </x:c>
    </x:row>
    <x:row r="12">
      <x:c r="A12" s="57" t="str">
        <x:v>coloriage kawaii fille</x:v>
      </x:c>
      <x:c r="B12" s="58" t="str">
        <x:v>Coloriages</x:v>
      </x:c>
      <x:c r="C12" s="79" t="n">
        <x:v>25</x:v>
      </x:c>
      <x:c r="D12" s="91" t="n">
        <x:v>19.9</x:v>
      </x:c>
      <x:c r="E12" s="58" t="str">
        <x:v>8 livres kawaii, 6 animaux, 5 sirènes/licornes, 4 mini carnets, 2 bundles</x:v>
      </x:c>
      <x:c r="F12" s="58" t="str">
        <x:v>Déclinaison plus ciblée de la page pilier, à mailler depuis coloriage kawaii et coloriage fille.</x:v>
      </x:c>
      <x:c r="G12" s="58" t="str">
        <x:v>Bundle coloriage kawaii fille + feutres + marque-page</x:v>
      </x:c>
      <x:c r="H12" s="58" t="str">
        <x:v>kawaii girl coloring book, cute coloring book girl, kawaii activity book</x:v>
      </x:c>
      <x:c r="I12" s="58" t="str">
        <x:v>P2</x:v>
      </x:c>
      <x:c r="J12" s="59" t="str">
        <x:v>Verifier qualite papier, delais, packaging et photos fournisseurs.</x:v>
      </x:c>
    </x:row>
    <x:row r="13">
      <x:c r="A13" s="57" t="str">
        <x:v>chat kawaii</x:v>
      </x:c>
      <x:c r="B13" s="58" t="str">
        <x:v>Thèmes kawaii</x:v>
      </x:c>
      <x:c r="C13" s="79" t="n">
        <x:v>20</x:v>
      </x:c>
      <x:c r="D13" s="91" t="n">
        <x:v>22.9</x:v>
      </x:c>
      <x:c r="E13" s="58" t="str">
        <x:v>8 livres chats, 4 stickers, 4 marque-pages, 2 cartes, 2 mini carnets</x:v>
      </x:c>
      <x:c r="F13" s="58" t="str">
        <x:v>Collection de livres, stickers, marque-pages et mini kits autour du chat kawaii.</x:v>
      </x:c>
      <x:c r="G13" s="58" t="str">
        <x:v>Bundle chat kawaii + feutres + marque-page</x:v>
      </x:c>
      <x:c r="H13" s="58" t="str">
        <x:v>kawaii cat coloring book, cute cat stationery, cat sticker book</x:v>
      </x:c>
      <x:c r="I13" s="58" t="str">
        <x:v>P2</x:v>
      </x:c>
      <x:c r="J13" s="59" t="str">
        <x:v>Eviter personnages sous licence et visuels copies.</x:v>
      </x:c>
    </x:row>
    <x:row r="14">
      <x:c r="A14" s="57" t="str">
        <x:v>feutre acrylique</x:v>
      </x:c>
      <x:c r="B14" s="58" t="str">
        <x:v>Accessoires</x:v>
      </x:c>
      <x:c r="C14" s="79" t="n">
        <x:v>40</x:v>
      </x:c>
      <x:c r="D14" s="91" t="n">
        <x:v>29.9</x:v>
      </x:c>
      <x:c r="E14" s="58" t="str">
        <x:v>12 sets pastel, 8 pointes fines, 6 double pointe, 6 kits surfaces, 8 bundles</x:v>
      </x:c>
      <x:c r="F14" s="58" t="str">
        <x:v>Sets de feutres, pointes fines, packs couleurs pastel, bundle avec cahiers papier épais.</x:v>
      </x:c>
      <x:c r="G14" s="58" t="str">
        <x:v>Bundle feutre acrylique + coloriage kawaii</x:v>
      </x:c>
      <x:c r="H14" s="58" t="str">
        <x:v>acrylic markers set pastel, acrylic paint pens, dual tip acrylic markers</x:v>
      </x:c>
      <x:c r="I14" s="58" t="str">
        <x:v>P1</x:v>
      </x:c>
      <x:c r="J14" s="59" t="str">
        <x:v>Verifier qualite papier, delais, packaging et photos fournisseurs.</x:v>
      </x:c>
    </x:row>
    <x:row r="15">
      <x:c r="A15" s="57" t="str">
        <x:v>feutre a alcool</x:v>
      </x:c>
      <x:c r="B15" s="58" t="str">
        <x:v>Accessoires</x:v>
      </x:c>
      <x:c r="C15" s="79" t="n">
        <x:v>30</x:v>
      </x:c>
      <x:c r="D15" s="91" t="n">
        <x:v>34.9</x:v>
      </x:c>
      <x:c r="E15" s="58" t="str">
        <x:v>10 sets débutant, 8 sets premium, 5 nuanciers, 4 pochettes, 3 bundles livre</x:v>
      </x:c>
      <x:c r="F15" s="58" t="str">
        <x:v>Sets alcohol markers, nuanciers, pochettes rangement, packs débutant et premium.</x:v>
      </x:c>
      <x:c r="G15" s="58" t="str">
        <x:v>Bundle feutre a alcool + coloriage kawaii</x:v>
      </x:c>
      <x:c r="H15" s="58" t="str">
        <x:v>alcohol markers set, dual tip alcohol marker, marker storage case</x:v>
      </x:c>
      <x:c r="I15" s="58" t="str">
        <x:v>P2</x:v>
      </x:c>
      <x:c r="J15" s="59" t="str">
        <x:v>Verifier qualite papier, delais, packaging et photos fournisseurs.</x:v>
      </x:c>
    </x:row>
    <x:row r="16">
      <x:c r="A16" s="57" t="str">
        <x:v>trousse kawaii</x:v>
      </x:c>
      <x:c r="B16" s="58" t="str">
        <x:v>Accessoires</x:v>
      </x:c>
      <x:c r="C16" s="79" t="n">
        <x:v>20</x:v>
      </x:c>
      <x:c r="D16" s="91" t="n">
        <x:v>19.9</x:v>
      </x:c>
      <x:c r="E16" s="58" t="str">
        <x:v>8 trousses grands formats, 5 pochettes feutres, 4 lots rentrée, 3 trousses personnalisées</x:v>
      </x:c>
      <x:c r="F16" s="58" t="str">
        <x:v>Trousses mignonnes, pochettes feutres, rangement coloriage, lots rentrée.</x:v>
      </x:c>
      <x:c r="G16" s="58" t="str">
        <x:v>Bundle trousse kawaii + coloriage kawaii</x:v>
      </x:c>
      <x:c r="H16" s="58" t="str">
        <x:v>kawaii pencil case, cute stationery pouch, marker pencil case</x:v>
      </x:c>
      <x:c r="I16" s="58" t="str">
        <x:v>P2</x:v>
      </x:c>
      <x:c r="J16" s="59" t="str">
        <x:v>Verifier qualite papier, delais, packaging et photos fournisseurs.</x:v>
      </x:c>
    </x:row>
    <x:row r="17">
      <x:c r="A17" s="57" t="str">
        <x:v>marque page personnalisé</x:v>
      </x:c>
      <x:c r="B17" s="58" t="str">
        <x:v>Cadeaux creatifs</x:v>
      </x:c>
      <x:c r="C17" s="79" t="n">
        <x:v>20</x:v>
      </x:c>
      <x:c r="D17" s="91" t="n">
        <x:v>14.9</x:v>
      </x:c>
      <x:c r="E17" s="58" t="str">
        <x:v>8 prénoms, 4 chats, 4 fleurs, 2 citations, 2 lots cadeau</x:v>
      </x:c>
      <x:c r="F17" s="58" t="str">
        <x:v>Marque-pages prénom, chats, fleurs, citations, lots de 3 et bundle cahier.</x:v>
      </x:c>
      <x:c r="G17" s="58" t="str">
        <x:v>Bundle marque page personnalisé + feutres + marque-page</x:v>
      </x:c>
      <x:c r="H17" s="58" t="str">
        <x:v>custom bookmark, personalized bookmark, cute bookmark set</x:v>
      </x:c>
      <x:c r="I17" s="58" t="str">
        <x:v>P2</x:v>
      </x:c>
      <x:c r="J17" s="59" t="str">
        <x:v>Verifier qualite papier, delais, packaging et photos fournisseurs.</x:v>
      </x:c>
    </x:row>
    <x:row r="18">
      <x:c r="A18" s="60" t="str">
        <x:v>diamond painting personnalisé</x:v>
      </x:c>
      <x:c r="B18" s="61" t="str">
        <x:v>Cadeaux creatifs</x:v>
      </x:c>
      <x:c r="C18" s="80" t="n">
        <x:v>30</x:v>
      </x:c>
      <x:c r="D18" s="92" t="n">
        <x:v>34.9</x:v>
      </x:c>
      <x:c r="E18" s="61" t="str">
        <x:v>10 formats portrait, 6 animaux, 5 mini kits, 5 packs cadeau, 4 accessoires</x:v>
      </x:c>
      <x:c r="F18" s="61" t="str">
        <x:v>Kits personnalisés, formats petits faciles à expédier, modèles animaux kawaii.</x:v>
      </x:c>
      <x:c r="G18" s="61" t="str">
        <x:v>Bundle diamond painting personnalisé + feutres + marque-page</x:v>
      </x:c>
      <x:c r="H18" s="61" t="str">
        <x:v>custom diamond painting kit, personalized diamond painting, small diamond art kit</x:v>
      </x:c>
      <x:c r="I18" s="61" t="str">
        <x:v>P2</x:v>
      </x:c>
      <x:c r="J18" s="62" t="str">
        <x:v>Verifier qualite papier, delais, packaging et photos fournisseurs.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80" hidden="0" customWidth="1"/>
    <x:col min="10" max="10" width="20" hidden="0" customWidth="1"/>
  </x:cols>
  <x:sheetData>
    <x:row r="1" ht="34" customHeight="1">
      <x:c r="A1" s="116" t="str">
        <x:v>Donnees source Ahrefs utilisees</x:v>
      </x:c>
      <x:c r="B1" s="116" t="str">
        <x:v>Donnees source Ahrefs utilisees</x:v>
      </x:c>
      <x:c r="C1" s="116" t="str">
        <x:v>Donnees source Ahrefs utilisees</x:v>
      </x:c>
      <x:c r="D1" s="116" t="str">
        <x:v>Donnees source Ahrefs utilisees</x:v>
      </x:c>
      <x:c r="E1" s="116" t="str">
        <x:v>Donnees source Ahrefs utilisees</x:v>
      </x:c>
      <x:c r="F1" s="116" t="str">
        <x:v>Donnees source Ahrefs utilisees</x:v>
      </x:c>
      <x:c r="G1" s="116" t="str">
        <x:v>Donnees source Ahrefs utilisees</x:v>
      </x:c>
      <x:c r="H1" s="116" t="str">
        <x:v>Donnees source Ahrefs utilisees</x:v>
      </x:c>
      <x:c r="I1" s="116" t="str">
        <x:v>Donnees source Ahrefs utilisees</x:v>
      </x:c>
      <x:c r="J1" s="116" t="str">
        <x:v>Donnees source Ahrefs utilisees</x:v>
      </x:c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</x:row>
    <x:row r="3">
      <x:c r="A3" s="118" t="str">
        <x:v>Keyword</x:v>
      </x:c>
      <x:c r="B3" s="119" t="str">
        <x:v>Volume</x:v>
      </x:c>
      <x:c r="C3" s="119" t="str">
        <x:v>KD</x:v>
      </x:c>
      <x:c r="D3" s="119" t="str">
        <x:v>CPC</x:v>
      </x:c>
      <x:c r="E3" s="119" t="str">
        <x:v>Informational</x:v>
      </x:c>
      <x:c r="F3" s="119" t="str">
        <x:v>Commercial</x:v>
      </x:c>
      <x:c r="G3" s="119" t="str">
        <x:v>Transactional</x:v>
      </x:c>
      <x:c r="H3" s="119" t="str">
        <x:v>Current position</x:v>
      </x:c>
      <x:c r="I3" s="119" t="str">
        <x:v>Current URL</x:v>
      </x:c>
      <x:c r="J3" s="120" t="str">
        <x:v>Utilise comme collection</x:v>
      </x:c>
    </x:row>
    <x:row r="4">
      <x:c r="A4" s="54" t="str">
        <x:v>coloriage kawaii</x:v>
      </x:c>
      <x:c r="B4" s="78" t="n">
        <x:v>38000</x:v>
      </x:c>
      <x:c r="C4" s="84" t="n">
        <x:v>1</x:v>
      </x:c>
      <x:c r="D4" s="90" t="n">
        <x:v>0.06</x:v>
      </x:c>
      <x:c r="E4" s="100" t="b">
        <x:v>1</x:v>
      </x:c>
      <x:c r="F4" s="100" t="b">
        <x:v>1</x:v>
      </x:c>
      <x:c r="G4" s="100" t="b">
        <x:v>1</x:v>
      </x:c>
      <x:c r="H4" s="55" t="str">
        <x:v>1</x:v>
      </x:c>
      <x:c r="I4" s="55" t="str">
        <x:v>https://www.amazon.fr/Livre-Coloriage-Kawaii-Festivit%C3%A9s-C%C3%A9l%C3%A9brations/dp/B0CNWWTSY2</x:v>
      </x:c>
      <x:c r="J4" s="56" t="str">
        <x:v>Oui</x:v>
      </x:c>
    </x:row>
    <x:row r="5">
      <x:c r="A5" s="57" t="str">
        <x:v>coloriage adulte</x:v>
      </x:c>
      <x:c r="B5" s="79" t="n">
        <x:v>15000</x:v>
      </x:c>
      <x:c r="C5" s="85" t="n">
        <x:v>0</x:v>
      </x:c>
      <x:c r="D5" s="91" t="n">
        <x:v>0.1</x:v>
      </x:c>
      <x:c r="E5" s="101" t="b">
        <x:v>1</x:v>
      </x:c>
      <x:c r="F5" s="101" t="b">
        <x:v>1</x:v>
      </x:c>
      <x:c r="G5" s="101" t="b">
        <x:v>0</x:v>
      </x:c>
      <x:c r="H5" s="58" t="str"/>
      <x:c r="I5" s="58" t="str"/>
      <x:c r="J5" s="59" t="str">
        <x:v>Oui</x:v>
      </x:c>
    </x:row>
    <x:row r="6">
      <x:c r="A6" s="57" t="str">
        <x:v>coloriage magique</x:v>
      </x:c>
      <x:c r="B6" s="79" t="n">
        <x:v>13000</x:v>
      </x:c>
      <x:c r="C6" s="85" t="n">
        <x:v>3</x:v>
      </x:c>
      <x:c r="D6" s="91" t="n">
        <x:v>0.08</x:v>
      </x:c>
      <x:c r="E6" s="101" t="b">
        <x:v>1</x:v>
      </x:c>
      <x:c r="F6" s="101" t="b">
        <x:v>1</x:v>
      </x:c>
      <x:c r="G6" s="101" t="b">
        <x:v>0</x:v>
      </x:c>
      <x:c r="H6" s="58" t="str">
        <x:v>6</x:v>
      </x:c>
      <x:c r="I6" s="58" t="str">
        <x:v>https://www.amazon.fr/coloriage-magique/s?k=coloriage+magique</x:v>
      </x:c>
      <x:c r="J6" s="59" t="str">
        <x:v>Oui</x:v>
      </x:c>
    </x:row>
    <x:row r="7">
      <x:c r="A7" s="57" t="str">
        <x:v>coloriage mystere</x:v>
      </x:c>
      <x:c r="B7" s="79" t="n">
        <x:v>12000</x:v>
      </x:c>
      <x:c r="C7" s="85" t="n">
        <x:v>0</x:v>
      </x:c>
      <x:c r="D7" s="91" t="n">
        <x:v>0.09</x:v>
      </x:c>
      <x:c r="E7" s="101" t="b">
        <x:v>1</x:v>
      </x:c>
      <x:c r="F7" s="101" t="b">
        <x:v>1</x:v>
      </x:c>
      <x:c r="G7" s="101" t="b">
        <x:v>1</x:v>
      </x:c>
      <x:c r="H7" s="58" t="str">
        <x:v>3</x:v>
      </x:c>
      <x:c r="I7" s="58" t="str">
        <x:v>https://www.amazon.fr/coloriage-mystere/s?k=coloriage+mystere</x:v>
      </x:c>
      <x:c r="J7" s="59" t="str">
        <x:v>Oui</x:v>
      </x:c>
    </x:row>
    <x:row r="8">
      <x:c r="A8" s="57" t="str">
        <x:v>coloriage cosy</x:v>
      </x:c>
      <x:c r="B8" s="79" t="n">
        <x:v>9200</x:v>
      </x:c>
      <x:c r="C8" s="85" t="n">
        <x:v>0</x:v>
      </x:c>
      <x:c r="D8" s="91" t="n">
        <x:v>0.11</x:v>
      </x:c>
      <x:c r="E8" s="101" t="b">
        <x:v>1</x:v>
      </x:c>
      <x:c r="F8" s="101" t="b">
        <x:v>1</x:v>
      </x:c>
      <x:c r="G8" s="101" t="b">
        <x:v>0</x:v>
      </x:c>
      <x:c r="H8" s="58" t="str">
        <x:v>3</x:v>
      </x:c>
      <x:c r="I8" s="58" t="str">
        <x:v>https://www.amazon.fr/livre-coloriage-cosy/s?k=livre+coloriage+cosy</x:v>
      </x:c>
      <x:c r="J8" s="59" t="str">
        <x:v>Oui</x:v>
      </x:c>
    </x:row>
    <x:row r="9">
      <x:c r="A9" s="57" t="str">
        <x:v>coloriage manga</x:v>
      </x:c>
      <x:c r="B9" s="79" t="n">
        <x:v>7000</x:v>
      </x:c>
      <x:c r="C9" s="85" t="n">
        <x:v>0</x:v>
      </x:c>
      <x:c r="D9" s="91" t="n">
        <x:v>0.07</x:v>
      </x:c>
      <x:c r="E9" s="101" t="b">
        <x:v>1</x:v>
      </x:c>
      <x:c r="F9" s="101" t="b">
        <x:v>1</x:v>
      </x:c>
      <x:c r="G9" s="101" t="b">
        <x:v>0</x:v>
      </x:c>
      <x:c r="H9" s="58" t="str">
        <x:v>1</x:v>
      </x:c>
      <x:c r="I9" s="58" t="str">
        <x:v>https://www.amazon.fr/Coloriage-Manga-diff%C3%A9rents-adolescents-personnage/dp/B0CMD8PMTV</x:v>
      </x:c>
      <x:c r="J9" s="59" t="str">
        <x:v>Oui</x:v>
      </x:c>
    </x:row>
    <x:row r="10">
      <x:c r="A10" s="57" t="str">
        <x:v>coloriage foot</x:v>
      </x:c>
      <x:c r="B10" s="79" t="n">
        <x:v>6600</x:v>
      </x:c>
      <x:c r="C10" s="85" t="n">
        <x:v>0</x:v>
      </x:c>
      <x:c r="D10" s="91" t="n">
        <x:v>0.06</x:v>
      </x:c>
      <x:c r="E10" s="101" t="b">
        <x:v>1</x:v>
      </x:c>
      <x:c r="F10" s="101" t="b">
        <x:v>1</x:v>
      </x:c>
      <x:c r="G10" s="101" t="b">
        <x:v>0</x:v>
      </x:c>
      <x:c r="H10" s="58" t="str">
        <x:v>1</x:v>
      </x:c>
      <x:c r="I10" s="58" t="str">
        <x:v>https://www.amazon.fr/Mon-cahier-coloriages-magiques-Foot/dp/2035992680</x:v>
      </x:c>
      <x:c r="J10" s="59" t="str">
        <x:v>Oui</x:v>
      </x:c>
    </x:row>
    <x:row r="11">
      <x:c r="A11" s="57" t="str">
        <x:v>coloriage fille</x:v>
      </x:c>
      <x:c r="B11" s="79" t="n">
        <x:v>6600</x:v>
      </x:c>
      <x:c r="C11" s="85" t="n">
        <x:v>0</x:v>
      </x:c>
      <x:c r="D11" s="91" t="str"/>
      <x:c r="E11" s="101" t="b">
        <x:v>1</x:v>
      </x:c>
      <x:c r="F11" s="101" t="b">
        <x:v>1</x:v>
      </x:c>
      <x:c r="G11" s="101" t="b">
        <x:v>0</x:v>
      </x:c>
      <x:c r="H11" s="58" t="str">
        <x:v>1</x:v>
      </x:c>
      <x:c r="I11" s="58" t="str">
        <x:v>https://www.amazon.fr/Coloriage-Kawaii-Fille-relaxant-anti-stress/dp/B0CVR37GQW</x:v>
      </x:c>
      <x:c r="J11" s="59" t="str">
        <x:v>Oui</x:v>
      </x:c>
    </x:row>
    <x:row r="12">
      <x:c r="A12" s="57" t="str">
        <x:v>coloriage kawaii fille</x:v>
      </x:c>
      <x:c r="B12" s="79" t="n">
        <x:v>4800</x:v>
      </x:c>
      <x:c r="C12" s="85" t="n">
        <x:v>1</x:v>
      </x:c>
      <x:c r="D12" s="91" t="str"/>
      <x:c r="E12" s="101" t="b">
        <x:v>1</x:v>
      </x:c>
      <x:c r="F12" s="101" t="b">
        <x:v>1</x:v>
      </x:c>
      <x:c r="G12" s="101" t="b">
        <x:v>1</x:v>
      </x:c>
      <x:c r="H12" s="58" t="str">
        <x:v>1</x:v>
      </x:c>
      <x:c r="I12" s="58" t="str">
        <x:v>https://www.amazon.fr/Coloriage-Kawaii-Fille-relaxant-anti-stress/dp/B0CVR37GQW</x:v>
      </x:c>
      <x:c r="J12" s="59" t="str">
        <x:v>Oui</x:v>
      </x:c>
    </x:row>
    <x:row r="13">
      <x:c r="A13" s="57" t="str">
        <x:v>chat kawaii</x:v>
      </x:c>
      <x:c r="B13" s="79" t="n">
        <x:v>4200</x:v>
      </x:c>
      <x:c r="C13" s="85" t="n">
        <x:v>0</x:v>
      </x:c>
      <x:c r="D13" s="91" t="n">
        <x:v>0.06</x:v>
      </x:c>
      <x:c r="E13" s="101" t="b">
        <x:v>1</x:v>
      </x:c>
      <x:c r="F13" s="101" t="b">
        <x:v>1</x:v>
      </x:c>
      <x:c r="G13" s="101" t="b">
        <x:v>0</x:v>
      </x:c>
      <x:c r="H13" s="58" t="str">
        <x:v>1</x:v>
      </x:c>
      <x:c r="I13" s="58" t="str">
        <x:v>https://www.amazon.fr/Livre-coloriage-chat-kawaii-japonais/dp/B0CFCX6VP5</x:v>
      </x:c>
      <x:c r="J13" s="59" t="str">
        <x:v>Oui</x:v>
      </x:c>
    </x:row>
    <x:row r="14">
      <x:c r="A14" s="57" t="str">
        <x:v>feutre acrylique</x:v>
      </x:c>
      <x:c r="B14" s="79" t="n">
        <x:v>33000</x:v>
      </x:c>
      <x:c r="C14" s="85" t="n">
        <x:v>0</x:v>
      </x:c>
      <x:c r="D14" s="91" t="n">
        <x:v>0.16</x:v>
      </x:c>
      <x:c r="E14" s="101" t="b">
        <x:v>1</x:v>
      </x:c>
      <x:c r="F14" s="101" t="b">
        <x:v>1</x:v>
      </x:c>
      <x:c r="G14" s="101" t="b">
        <x:v>1</x:v>
      </x:c>
      <x:c r="H14" s="58" t="str">
        <x:v>1</x:v>
      </x:c>
      <x:c r="I14" s="58" t="str">
        <x:v>https://www.amazon.fr/feutre-acrylique/s?k=feutre+acrylique</x:v>
      </x:c>
      <x:c r="J14" s="59" t="str">
        <x:v>Oui</x:v>
      </x:c>
    </x:row>
    <x:row r="15">
      <x:c r="A15" s="57" t="str">
        <x:v>feutre a alcool</x:v>
      </x:c>
      <x:c r="B15" s="79" t="n">
        <x:v>5400</x:v>
      </x:c>
      <x:c r="C15" s="85" t="n">
        <x:v>0</x:v>
      </x:c>
      <x:c r="D15" s="91" t="n">
        <x:v>0.21</x:v>
      </x:c>
      <x:c r="E15" s="101" t="b">
        <x:v>1</x:v>
      </x:c>
      <x:c r="F15" s="101" t="b">
        <x:v>1</x:v>
      </x:c>
      <x:c r="G15" s="101" t="b">
        <x:v>1</x:v>
      </x:c>
      <x:c r="H15" s="58" t="str">
        <x:v>5</x:v>
      </x:c>
      <x:c r="I15" s="58" t="str">
        <x:v>https://www.amazon.fr/feutre-a-alcool/s?k=feutre+a+alcool</x:v>
      </x:c>
      <x:c r="J15" s="59" t="str">
        <x:v>Oui</x:v>
      </x:c>
    </x:row>
    <x:row r="16">
      <x:c r="A16" s="57" t="str">
        <x:v>trousse kawaii</x:v>
      </x:c>
      <x:c r="B16" s="79" t="n">
        <x:v>3800</x:v>
      </x:c>
      <x:c r="C16" s="85" t="n">
        <x:v>0</x:v>
      </x:c>
      <x:c r="D16" s="91" t="n">
        <x:v>0.14</x:v>
      </x:c>
      <x:c r="E16" s="101" t="b">
        <x:v>1</x:v>
      </x:c>
      <x:c r="F16" s="101" t="b">
        <x:v>1</x:v>
      </x:c>
      <x:c r="G16" s="101" t="b">
        <x:v>1</x:v>
      </x:c>
      <x:c r="H16" s="58" t="str">
        <x:v>1</x:v>
      </x:c>
      <x:c r="I16" s="58" t="str">
        <x:v>https://www.amazon.fr/chiLUER-Trousse-Kawaii-fournitures-adolescentes/dp/B0B9FNCZR6</x:v>
      </x:c>
      <x:c r="J16" s="59" t="str">
        <x:v>Oui</x:v>
      </x:c>
    </x:row>
    <x:row r="17">
      <x:c r="A17" s="57" t="str">
        <x:v>marque page personnalisé</x:v>
      </x:c>
      <x:c r="B17" s="79" t="n">
        <x:v>3700</x:v>
      </x:c>
      <x:c r="C17" s="85" t="n">
        <x:v>1</x:v>
      </x:c>
      <x:c r="D17" s="91" t="n">
        <x:v>0.42</x:v>
      </x:c>
      <x:c r="E17" s="101" t="b">
        <x:v>1</x:v>
      </x:c>
      <x:c r="F17" s="101" t="b">
        <x:v>1</x:v>
      </x:c>
      <x:c r="G17" s="101" t="b">
        <x:v>1</x:v>
      </x:c>
      <x:c r="H17" s="58" t="str">
        <x:v>1</x:v>
      </x:c>
      <x:c r="I17" s="58" t="str">
        <x:v>https://www.amazon.fr/marque-page-personnalisable/s?k=marque+page+personnalisable</x:v>
      </x:c>
      <x:c r="J17" s="59" t="str">
        <x:v>Oui</x:v>
      </x:c>
    </x:row>
    <x:row r="18">
      <x:c r="A18" s="60" t="str">
        <x:v>diamond painting personnalisé</x:v>
      </x:c>
      <x:c r="B18" s="80" t="n">
        <x:v>6000</x:v>
      </x:c>
      <x:c r="C18" s="86" t="n">
        <x:v>2</x:v>
      </x:c>
      <x:c r="D18" s="92" t="n">
        <x:v>0.71</x:v>
      </x:c>
      <x:c r="E18" s="102" t="b">
        <x:v>1</x:v>
      </x:c>
      <x:c r="F18" s="102" t="b">
        <x:v>1</x:v>
      </x:c>
      <x:c r="G18" s="102" t="b">
        <x:v>1</x:v>
      </x:c>
      <x:c r="H18" s="61" t="str">
        <x:v>4</x:v>
      </x:c>
      <x:c r="I18" s="61" t="str">
        <x:v>https://www.amazon.fr/Painting-Personnalis%C3%A9-Personnaliser-Diamond-Painting-Personnalisable/dp/B0DF6X2BX5</x:v>
      </x:c>
      <x:c r="J18" s="62" t="str">
        <x:v>Oui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34" customHeight="1">
      <x:c r="A1" s="116" t="str">
        <x:v>Notes et hypotheses</x:v>
      </x:c>
      <x:c r="B1" s="116" t="str">
        <x:v>Notes et hypotheses</x:v>
      </x:c>
      <x:c r="C1" s="116" t="str">
        <x:v>Notes et hypotheses</x:v>
      </x:c>
      <x:c r="D1" s="116" t="str">
        <x:v>Notes et hypotheses</x:v>
      </x:c>
      <x:c r="E1" s="116" t="str">
        <x:v>Notes et hypotheses</x:v>
      </x:c>
      <x:c r="F1" s="116" t="str">
        <x:v>Notes et hypotheses</x:v>
      </x:c>
      <x:c r="G1" s="116" t="str">
        <x:v>Notes et hypotheses</x:v>
      </x:c>
      <x:c r="H1" s="116" t="str">
        <x:v>Notes et hypotheses</x:v>
      </x:c>
    </x:row>
    <x:row r="2">
      <x:c r="A2" s="58"/>
      <x:c r="B2" s="58"/>
      <x:c r="C2" s="58"/>
      <x:c r="D2" s="58"/>
      <x:c r="E2" s="58"/>
      <x:c r="F2" s="58"/>
      <x:c r="G2" s="58"/>
      <x:c r="H2" s="58"/>
    </x:row>
    <x:row r="3">
      <x:c r="A3" s="106" t="str">
        <x:v>Source CSV</x:v>
      </x:c>
      <x:c r="B3" s="56" t="str">
        <x:v>/Users/Hakim/Downloads/amazon.fr-organic-keywords-subdomains-fr-_2026-07-09_19-21-08.csv</x:v>
      </x:c>
      <x:c r="C3" s="58"/>
      <x:c r="D3" s="58"/>
      <x:c r="E3" s="58"/>
      <x:c r="F3" s="58"/>
      <x:c r="G3" s="58"/>
      <x:c r="H3" s="58"/>
    </x:row>
    <x:row r="4">
      <x:c r="A4" s="107" t="str">
        <x:v>Date de travail</x:v>
      </x:c>
      <x:c r="B4" s="59" t="str">
        <x:v>2026-07-09</x:v>
      </x:c>
      <x:c r="C4" s="58"/>
      <x:c r="D4" s="58"/>
      <x:c r="E4" s="58"/>
      <x:c r="F4" s="58"/>
      <x:c r="G4" s="58"/>
      <x:c r="H4" s="58"/>
    </x:row>
    <x:row r="5">
      <x:c r="A5" s="107" t="str">
        <x:v>Regle principale</x:v>
      </x:c>
      <x:c r="B5" s="59" t="str">
        <x:v>Chaque page de type Collection reprend un mot-cle exact du CSV ou son accentuation equivalente.</x:v>
      </x:c>
      <x:c r="C5" s="58"/>
      <x:c r="D5" s="58"/>
      <x:c r="E5" s="58"/>
      <x:c r="F5" s="58"/>
      <x:c r="G5" s="58"/>
      <x:c r="H5" s="58"/>
    </x:row>
    <x:row r="6">
      <x:c r="A6" s="107" t="str">
        <x:v>Objectif catalogue</x:v>
      </x:c>
      <x:c r="B6" s="59" t="str">
        <x:v>Construire 300+ SKU avec une cible actuelle de 430 SKU.</x:v>
      </x:c>
      <x:c r="C6" s="58"/>
      <x:c r="D6" s="58"/>
      <x:c r="E6" s="58"/>
      <x:c r="F6" s="58"/>
      <x:c r="G6" s="58"/>
      <x:c r="H6" s="58"/>
    </x:row>
    <x:row r="7">
      <x:c r="A7" s="107" t="str">
        <x:v>Positionnement</x:v>
      </x:c>
      <x:c r="B7" s="59" t="str">
        <x:v>Boutique mini-marque : kits, carnets, feutres, accessoires et cadeaux physiques.</x:v>
      </x:c>
      <x:c r="C7" s="58"/>
      <x:c r="D7" s="58"/>
      <x:c r="E7" s="58"/>
      <x:c r="F7" s="58"/>
      <x:c r="G7" s="58"/>
      <x:c r="H7" s="58"/>
    </x:row>
    <x:row r="8">
      <x:c r="A8" s="107" t="str">
        <x:v>A eviter</x:v>
      </x:c>
      <x:c r="B8" s="59" t="str">
        <x:v>Personnages/licences type Stitch, Disney, manga existant; fichiers gratuits; claims educatifs/sante non prouves.</x:v>
      </x:c>
      <x:c r="C8" s="58"/>
      <x:c r="D8" s="58"/>
      <x:c r="E8" s="58"/>
      <x:c r="F8" s="58"/>
      <x:c r="G8" s="58"/>
      <x:c r="H8" s="58"/>
    </x:row>
    <x:row r="9">
      <x:c r="A9" s="107" t="str">
        <x:v>SEO</x:v>
      </x:c>
      <x:c r="B9" s="59" t="str">
        <x:v>Les hubs menu ne doivent pas cannibaliser les collections exact-match.</x:v>
      </x:c>
      <x:c r="C9" s="58"/>
      <x:c r="D9" s="58"/>
      <x:c r="E9" s="58"/>
      <x:c r="F9" s="58"/>
      <x:c r="G9" s="58"/>
      <x:c r="H9" s="58"/>
    </x:row>
    <x:row r="10">
      <x:c r="A10" s="107" t="str">
        <x:v>SEA</x:v>
      </x:c>
      <x:c r="B10" s="59" t="str">
        <x:v>Prioriser P1 pour tests Google Shopping/Search, puis P2 selon marge et sourcing.</x:v>
      </x:c>
      <x:c r="C10" s="58"/>
      <x:c r="D10" s="58"/>
      <x:c r="E10" s="58"/>
      <x:c r="F10" s="58"/>
      <x:c r="G10" s="58"/>
      <x:c r="H10" s="58"/>
    </x:row>
    <x:row r="11">
      <x:c r="A11" s="107" t="str">
        <x:v>Sourcing</x:v>
      </x:c>
      <x:c r="B11" s="59" t="str">
        <x:v>Verifier photos fournisseur, packaging, delais, qualite papier et conformite des feutres.</x:v>
      </x:c>
      <x:c r="C11" s="58"/>
      <x:c r="D11" s="58"/>
      <x:c r="E11" s="58"/>
      <x:c r="F11" s="58"/>
      <x:c r="G11" s="58"/>
      <x:c r="H11" s="58"/>
    </x:row>
    <x:row r="12">
      <x:c r="A12" s="108" t="str">
        <x:v>Mise a jour</x:v>
      </x:c>
      <x:c r="B12" s="62" t="str">
        <x:v>Coller un nouvel export Ahrefs et remplacer les volumes/KD/CPC si besoin.</x:v>
      </x:c>
      <x:c r="C12" s="58"/>
      <x:c r="D12" s="58"/>
      <x:c r="E12" s="58"/>
      <x:c r="F12" s="58"/>
      <x:c r="G12" s="58"/>
      <x:c r="H12" s="58"/>
    </x:row>
  </x:sheetData>
  <x:mergeCells>
    <x:mergeCell ref="A1:H1"/>
  </x:mergeCells>
  <x:pageMargins left="0.7" right="0.7" top="0.75" bottom="0.75" header="0.3" footer="0.3"/>
</x:worksheet>
</file>