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Arborescence" sheetId="2" state="visible" r:id="rId2"/>
    <sheet name="Collections" sheetId="3" state="visible" r:id="rId3"/>
    <sheet name="SKU_Plan" sheetId="4" state="visible" r:id="rId4"/>
    <sheet name="Concurrents" sheetId="5" state="visible" r:id="rId5"/>
    <sheet name="Sourcing_AliExpress" sheetId="6" state="visible" r:id="rId6"/>
    <sheet name="Source_Data" sheetId="7" state="visible" r:id="rId7"/>
    <sheet name="Notes" sheetId="8" state="visible" r:id="rId8"/>
    <sheet name="Pistes_licence_style" sheetId="9" state="visible" r:id="rId9"/>
    <sheet name="Prompts_home_collection" sheetId="10" state="visible" r:id="rId10"/>
  </sheets>
  <definedNames/>
</workbook>
</file>

<file path=xl/styles.xml><?xml version="1.0" encoding="utf-8"?>
<styleSheet xmlns="http://schemas.openxmlformats.org/spreadsheetml/2006/main">
  <numFmts count="3">
    <numFmt numFmtId="164" formatCode="0.0"/>
    <numFmt numFmtId="165" formatCode="0.0x"/>
    <numFmt numFmtId="166" formatCode="yyyy-mm-dd"/>
  </numFmts>
  <fonts count="15">
    <font>
      <name val="Carlito"/>
      <sz val="11"/>
    </font>
    <font>
      <name val="Carlito"/>
      <b val="1"/>
      <color rgb="FFFFFFFF"/>
      <sz val="16"/>
    </font>
    <font>
      <name val="Carlito"/>
      <color rgb="FF064E3B"/>
      <sz val="11"/>
    </font>
    <font>
      <name val="Carlito"/>
      <b val="1"/>
      <color rgb="FFFFFFFF"/>
      <sz val="11"/>
    </font>
    <font>
      <name val="Carlito"/>
      <b val="1"/>
      <color rgb="FF9A3412"/>
      <sz val="14"/>
    </font>
    <font>
      <name val="Carlito"/>
      <b val="1"/>
      <color rgb="FF115E59"/>
      <sz val="14"/>
    </font>
    <font>
      <name val="Carlito"/>
      <b val="1"/>
      <sz val="11"/>
    </font>
    <font>
      <name val="Carlito"/>
      <b val="1"/>
      <color rgb="FF064E3B"/>
      <sz val="11"/>
    </font>
    <font>
      <name val="Carlito"/>
      <b val="1"/>
      <color rgb="FF9A3412"/>
      <sz val="11"/>
    </font>
    <font>
      <b val="1"/>
      <sz val="13"/>
    </font>
    <font>
      <b val="1"/>
      <color rgb="00FFFFFF"/>
    </font>
    <font>
      <color rgb="000563C1"/>
      <u val="single"/>
    </font>
    <font>
      <i val="1"/>
      <color rgb="00C00000"/>
    </font>
    <font>
      <b val="1"/>
    </font>
    <font>
      <i val="1"/>
      <color rgb="00666666"/>
    </font>
  </fonts>
  <fills count="13">
    <fill>
      <patternFill/>
    </fill>
    <fill>
      <patternFill patternType="gray125"/>
    </fill>
    <fill>
      <patternFill patternType="solid">
        <fgColor rgb="FF14532D"/>
      </patternFill>
    </fill>
    <fill>
      <patternFill patternType="solid">
        <fgColor rgb="FFECFDF5"/>
      </patternFill>
    </fill>
    <fill>
      <patternFill patternType="solid">
        <fgColor rgb="FF0F766E"/>
      </patternFill>
    </fill>
    <fill>
      <patternFill patternType="solid">
        <fgColor rgb="FFFFF7ED"/>
      </patternFill>
    </fill>
    <fill>
      <patternFill patternType="solid">
        <fgColor rgb="FFF0FDFA"/>
      </patternFill>
    </fill>
    <fill>
      <patternFill patternType="solid">
        <fgColor rgb="FF1F2937"/>
      </patternFill>
    </fill>
    <fill>
      <patternFill patternType="solid">
        <fgColor rgb="FFF97316"/>
      </patternFill>
    </fill>
    <fill>
      <patternFill patternType="solid">
        <fgColor rgb="00C00000"/>
      </patternFill>
    </fill>
    <fill>
      <patternFill patternType="solid">
        <fgColor rgb="00FFC7CE"/>
      </patternFill>
    </fill>
    <fill>
      <patternFill patternType="solid">
        <fgColor rgb="002F3B52"/>
      </patternFill>
    </fill>
    <fill>
      <patternFill patternType="solid">
        <fgColor rgb="00548235"/>
      </patternFill>
    </fill>
  </fills>
  <borders count="13">
    <border/>
    <border>
      <left style="thin">
        <color rgb="FF0B4F45"/>
      </left>
      <top style="thin">
        <color rgb="FF0B4F45"/>
      </top>
      <bottom style="thin">
        <color rgb="FF0B4F45"/>
      </bottom>
    </border>
    <border>
      <top style="thin">
        <color rgb="FF0B4F45"/>
      </top>
      <bottom style="thin">
        <color rgb="FF0B4F45"/>
      </bottom>
    </border>
    <border>
      <right style="thin">
        <color rgb="FF0B4F45"/>
      </right>
      <top style="thin">
        <color rgb="FF0B4F45"/>
      </top>
      <bottom style="thin">
        <color rgb="FF0B4F45"/>
      </bottom>
    </border>
    <border>
      <left style="thin">
        <color rgb="FFCBD5E1"/>
      </left>
      <top style="thin">
        <color rgb="FFCBD5E1"/>
      </top>
    </border>
    <border>
      <top style="thin">
        <color rgb="FFCBD5E1"/>
      </top>
    </border>
    <border>
      <right style="thin">
        <color rgb="FFCBD5E1"/>
      </right>
      <top style="thin">
        <color rgb="FFCBD5E1"/>
      </top>
    </border>
    <border>
      <left style="thin">
        <color rgb="FFCBD5E1"/>
      </left>
    </border>
    <border>
      <right style="thin">
        <color rgb="FFCBD5E1"/>
      </right>
    </border>
    <border>
      <left style="thin">
        <color rgb="FFCBD5E1"/>
      </left>
      <bottom style="thin">
        <color rgb="FFCBD5E1"/>
      </bottom>
    </border>
    <border>
      <bottom style="thin">
        <color rgb="FFCBD5E1"/>
      </bottom>
    </border>
    <border>
      <right style="thin">
        <color rgb="FFCBD5E1"/>
      </right>
      <bottom style="thin">
        <color rgb="FFCBD5E1"/>
      </bottom>
    </border>
    <border>
      <left style="thin">
        <color rgb="00BFBFBF"/>
      </left>
      <right style="thin">
        <color rgb="00BFBFBF"/>
      </right>
      <top style="thin">
        <color rgb="00BFBFBF"/>
      </top>
      <bottom style="thin">
        <color rgb="00BFBFBF"/>
      </bottom>
    </border>
  </borders>
  <cellStyleXfs count="1">
    <xf numFmtId="0" fontId="0" fillId="0" borderId="0"/>
  </cellStyleXfs>
  <cellXfs count="18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1" pivotButton="0" quotePrefix="0" xfId="0"/>
    <xf numFmtId="0" fontId="3" fillId="4" borderId="2" pivotButton="0" quotePrefix="0" xfId="0"/>
    <xf numFmtId="0" fontId="3" fillId="4" borderId="3" pivotButton="0" quotePrefix="0" xfId="0"/>
    <xf numFmtId="0" fontId="3" fillId="4" borderId="1" applyAlignment="1" pivotButton="0" quotePrefix="0" xfId="0">
      <alignment wrapText="1"/>
    </xf>
    <xf numFmtId="0" fontId="3" fillId="4" borderId="2" applyAlignment="1" pivotButton="0" quotePrefix="0" xfId="0">
      <alignment wrapText="1"/>
    </xf>
    <xf numFmtId="0" fontId="3" fillId="4" borderId="3" applyAlignment="1" pivotButton="0" quotePrefix="0" xfId="0">
      <alignment wrapText="1"/>
    </xf>
    <xf numFmtId="0" fontId="3" fillId="4" borderId="1" applyAlignment="1" pivotButton="0" quotePrefix="0" xfId="0">
      <alignment horizontal="center" wrapText="1"/>
    </xf>
    <xf numFmtId="0" fontId="3" fillId="4" borderId="2" applyAlignment="1" pivotButton="0" quotePrefix="0" xfId="0">
      <alignment horizontal="center" wrapText="1"/>
    </xf>
    <xf numFmtId="0" fontId="3" fillId="4" borderId="3" applyAlignment="1" pivotButton="0" quotePrefix="0" xfId="0">
      <alignment horizontal="center" wrapText="1"/>
    </xf>
    <xf numFmtId="0" fontId="3" fillId="4"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0" fillId="5" borderId="0" pivotButton="0" quotePrefix="0" xfId="0"/>
    <xf numFmtId="0" fontId="4" fillId="5" borderId="0" pivotButton="0" quotePrefix="0" xfId="0"/>
    <xf numFmtId="0" fontId="4" fillId="5" borderId="0" applyAlignment="1" pivotButton="0" quotePrefix="0" xfId="0">
      <alignment horizontal="center"/>
    </xf>
    <xf numFmtId="0" fontId="0" fillId="6" borderId="0" pivotButton="0" quotePrefix="0" xfId="0"/>
    <xf numFmtId="0" fontId="5" fillId="6" borderId="0" pivotButton="0" quotePrefix="0" xfId="0"/>
    <xf numFmtId="0" fontId="5" fillId="6" borderId="0" applyAlignment="1" pivotButton="0" quotePrefix="0" xfId="0">
      <alignment horizontal="center"/>
    </xf>
    <xf numFmtId="3" fontId="4" fillId="5" borderId="0" applyAlignment="1" pivotButton="0" quotePrefix="0" xfId="0">
      <alignment horizontal="center"/>
    </xf>
    <xf numFmtId="3" fontId="4" fillId="5" borderId="0" applyAlignment="1" pivotButton="0" quotePrefix="0" xfId="0">
      <alignment horizontal="right"/>
    </xf>
    <xf numFmtId="164" fontId="5" fillId="6" borderId="0" applyAlignment="1" pivotButton="0" quotePrefix="0" xfId="0">
      <alignment horizontal="center"/>
    </xf>
    <xf numFmtId="164" fontId="5" fillId="6" borderId="0" applyAlignment="1" pivotButton="0" quotePrefix="0" xfId="0">
      <alignment horizontal="right"/>
    </xf>
    <xf numFmtId="2" fontId="5" fillId="6" borderId="0" applyAlignment="1" pivotButton="0" quotePrefix="0" xfId="0">
      <alignment horizontal="center"/>
    </xf>
    <xf numFmtId="2" fontId="5" fillId="6" borderId="0" applyAlignment="1" pivotButton="0" quotePrefix="0" xfId="0">
      <alignment horizontal="right"/>
    </xf>
    <xf numFmtId="0" fontId="0" fillId="7" borderId="0" pivotButton="0" quotePrefix="0" xfId="0"/>
    <xf numFmtId="0" fontId="3" fillId="7"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0"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0"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0"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8" borderId="4" applyAlignment="1" pivotButton="0" quotePrefix="0" xfId="0">
      <alignment vertical="top" wrapText="1"/>
    </xf>
    <xf numFmtId="0" fontId="0" fillId="8" borderId="7" applyAlignment="1" pivotButton="0" quotePrefix="0" xfId="0">
      <alignment vertical="top" wrapText="1"/>
    </xf>
    <xf numFmtId="0" fontId="0" fillId="8" borderId="9" applyAlignment="1" pivotButton="0" quotePrefix="0" xfId="0">
      <alignment vertical="top" wrapText="1"/>
    </xf>
    <xf numFmtId="0" fontId="3" fillId="8" borderId="4" applyAlignment="1" pivotButton="0" quotePrefix="0" xfId="0">
      <alignment vertical="top" wrapText="1"/>
    </xf>
    <xf numFmtId="0" fontId="3" fillId="8" borderId="7" applyAlignment="1" pivotButton="0" quotePrefix="0" xfId="0">
      <alignment vertical="top" wrapText="1"/>
    </xf>
    <xf numFmtId="0" fontId="3" fillId="8" borderId="9" applyAlignment="1" pivotButton="0" quotePrefix="0" xfId="0">
      <alignment vertical="top" wrapText="1"/>
    </xf>
    <xf numFmtId="0" fontId="3" fillId="8" borderId="4" applyAlignment="1" pivotButton="0" quotePrefix="0" xfId="0">
      <alignment horizontal="center" vertical="top" wrapText="1"/>
    </xf>
    <xf numFmtId="0" fontId="3" fillId="8" borderId="7" applyAlignment="1" pivotButton="0" quotePrefix="0" xfId="0">
      <alignment horizontal="center" vertical="top" wrapText="1"/>
    </xf>
    <xf numFmtId="0" fontId="3" fillId="8" borderId="9" applyAlignment="1" pivotButton="0" quotePrefix="0" xfId="0">
      <alignment horizontal="center" vertical="top" wrapText="1"/>
    </xf>
    <xf numFmtId="0" fontId="6" fillId="0" borderId="5" applyAlignment="1" pivotButton="0" quotePrefix="0" xfId="0">
      <alignment vertical="top" wrapText="1"/>
    </xf>
    <xf numFmtId="0" fontId="6" fillId="0" borderId="0" applyAlignment="1" pivotButton="0" quotePrefix="0" xfId="0">
      <alignment vertical="top" wrapText="1"/>
    </xf>
    <xf numFmtId="0" fontId="6" fillId="0" borderId="10" applyAlignment="1" pivotButton="0" quotePrefix="0" xfId="0">
      <alignment vertical="top" wrapText="1"/>
    </xf>
    <xf numFmtId="3" fontId="0" fillId="0" borderId="5" applyAlignment="1" pivotButton="0" quotePrefix="0" xfId="0">
      <alignment vertical="top" wrapText="1"/>
    </xf>
    <xf numFmtId="3" fontId="0" fillId="0" borderId="0" applyAlignment="1" pivotButton="0" quotePrefix="0" xfId="0">
      <alignment vertical="top" wrapText="1"/>
    </xf>
    <xf numFmtId="3" fontId="0" fillId="0" borderId="10" applyAlignment="1" pivotButton="0" quotePrefix="0" xfId="0">
      <alignment vertical="top" wrapText="1"/>
    </xf>
    <xf numFmtId="3" fontId="0" fillId="0" borderId="5" applyAlignment="1" pivotButton="0" quotePrefix="0" xfId="0">
      <alignment horizontal="right" vertical="top" wrapText="1"/>
    </xf>
    <xf numFmtId="3" fontId="0" fillId="0" borderId="0" applyAlignment="1" pivotButton="0" quotePrefix="0" xfId="0">
      <alignment horizontal="right" vertical="top" wrapText="1"/>
    </xf>
    <xf numFmtId="3" fontId="0" fillId="0" borderId="10" applyAlignment="1" pivotButton="0" quotePrefix="0" xfId="0">
      <alignment horizontal="right" vertical="top" wrapText="1"/>
    </xf>
    <xf numFmtId="0" fontId="7" fillId="3" borderId="0" pivotButton="0" quotePrefix="0" xfId="0"/>
    <xf numFmtId="0" fontId="7" fillId="3" borderId="0" applyAlignment="1" pivotButton="0" quotePrefix="0" xfId="0">
      <alignment wrapText="1"/>
    </xf>
    <xf numFmtId="1" fontId="0" fillId="0" borderId="5" applyAlignment="1" pivotButton="0" quotePrefix="0" xfId="0">
      <alignment vertical="top" wrapText="1"/>
    </xf>
    <xf numFmtId="1" fontId="0" fillId="0" borderId="0" applyAlignment="1" pivotButton="0" quotePrefix="0" xfId="0">
      <alignment vertical="top" wrapText="1"/>
    </xf>
    <xf numFmtId="1" fontId="0" fillId="0" borderId="10" applyAlignment="1" pivotButton="0" quotePrefix="0" xfId="0">
      <alignment vertical="top" wrapText="1"/>
    </xf>
    <xf numFmtId="1" fontId="0" fillId="0" borderId="5" applyAlignment="1" pivotButton="0" quotePrefix="0" xfId="0">
      <alignment horizontal="right" vertical="top" wrapText="1"/>
    </xf>
    <xf numFmtId="1" fontId="0" fillId="0" borderId="0" applyAlignment="1" pivotButton="0" quotePrefix="0" xfId="0">
      <alignment horizontal="right" vertical="top" wrapText="1"/>
    </xf>
    <xf numFmtId="1" fontId="0" fillId="0" borderId="10" applyAlignment="1" pivotButton="0" quotePrefix="0" xfId="0">
      <alignment horizontal="right" vertical="top" wrapText="1"/>
    </xf>
    <xf numFmtId="2" fontId="0" fillId="0" borderId="5" applyAlignment="1" pivotButton="0" quotePrefix="0" xfId="0">
      <alignment vertical="top" wrapText="1"/>
    </xf>
    <xf numFmtId="2" fontId="0" fillId="0" borderId="0" applyAlignment="1" pivotButton="0" quotePrefix="0" xfId="0">
      <alignment vertical="top" wrapText="1"/>
    </xf>
    <xf numFmtId="2" fontId="0" fillId="0" borderId="10" applyAlignment="1" pivotButton="0" quotePrefix="0" xfId="0">
      <alignment vertical="top" wrapText="1"/>
    </xf>
    <xf numFmtId="2" fontId="0" fillId="0" borderId="5" applyAlignment="1" pivotButton="0" quotePrefix="0" xfId="0">
      <alignment horizontal="right" vertical="top" wrapText="1"/>
    </xf>
    <xf numFmtId="2" fontId="0" fillId="0" borderId="0" applyAlignment="1" pivotButton="0" quotePrefix="0" xfId="0">
      <alignment horizontal="right" vertical="top" wrapText="1"/>
    </xf>
    <xf numFmtId="2" fontId="0" fillId="0" borderId="10" applyAlignment="1" pivotButton="0" quotePrefix="0" xfId="0">
      <alignment horizontal="right" vertical="top" wrapText="1"/>
    </xf>
    <xf numFmtId="0" fontId="8" fillId="5" borderId="0" pivotButton="0" quotePrefix="0" xfId="0"/>
    <xf numFmtId="0" fontId="8" fillId="5" borderId="0" applyAlignment="1" pivotButton="0" quotePrefix="0" xfId="0">
      <alignment wrapText="1"/>
    </xf>
    <xf numFmtId="165" fontId="0" fillId="0" borderId="5" applyAlignment="1" pivotButton="0" quotePrefix="0" xfId="0">
      <alignment vertical="top" wrapText="1"/>
    </xf>
    <xf numFmtId="165" fontId="0" fillId="0" borderId="0" applyAlignment="1" pivotButton="0" quotePrefix="0" xfId="0">
      <alignment vertical="top" wrapText="1"/>
    </xf>
    <xf numFmtId="165" fontId="0" fillId="0" borderId="10" applyAlignment="1" pivotButton="0" quotePrefix="0" xfId="0">
      <alignment vertical="top" wrapText="1"/>
    </xf>
    <xf numFmtId="165" fontId="0" fillId="0" borderId="5" applyAlignment="1" pivotButton="0" quotePrefix="0" xfId="0">
      <alignment horizontal="right" vertical="top" wrapText="1"/>
    </xf>
    <xf numFmtId="165" fontId="0" fillId="0" borderId="0" applyAlignment="1" pivotButton="0" quotePrefix="0" xfId="0">
      <alignment horizontal="right" vertical="top" wrapText="1"/>
    </xf>
    <xf numFmtId="165" fontId="0" fillId="0" borderId="10" applyAlignment="1" pivotButton="0" quotePrefix="0" xfId="0">
      <alignment horizontal="right" vertical="top" wrapText="1"/>
    </xf>
    <xf numFmtId="164" fontId="0" fillId="0" borderId="5" applyAlignment="1" pivotButton="0" quotePrefix="0" xfId="0">
      <alignment vertical="top" wrapText="1"/>
    </xf>
    <xf numFmtId="164" fontId="0" fillId="0" borderId="0" applyAlignment="1" pivotButton="0" quotePrefix="0" xfId="0">
      <alignment vertical="top" wrapText="1"/>
    </xf>
    <xf numFmtId="164" fontId="0" fillId="0" borderId="10" applyAlignment="1" pivotButton="0" quotePrefix="0" xfId="0">
      <alignment vertical="top" wrapText="1"/>
    </xf>
    <xf numFmtId="164" fontId="0" fillId="0" borderId="5" applyAlignment="1" pivotButton="0" quotePrefix="0" xfId="0">
      <alignment horizontal="right" vertical="top" wrapText="1"/>
    </xf>
    <xf numFmtId="164" fontId="0" fillId="0" borderId="0" applyAlignment="1" pivotButton="0" quotePrefix="0" xfId="0">
      <alignment horizontal="right" vertical="top" wrapText="1"/>
    </xf>
    <xf numFmtId="164" fontId="0" fillId="0" borderId="10" applyAlignment="1" pivotButton="0" quotePrefix="0" xfId="0">
      <alignment horizontal="right" vertical="top" wrapText="1"/>
    </xf>
    <xf numFmtId="0" fontId="0" fillId="0" borderId="0" pivotButton="0" quotePrefix="0" xfId="0"/>
    <xf numFmtId="0" fontId="0" fillId="0" borderId="5" pivotButton="0" quotePrefix="0" xfId="0"/>
    <xf numFmtId="0" fontId="0" fillId="0" borderId="0" pivotButton="0" quotePrefix="0" xfId="0"/>
    <xf numFmtId="0" fontId="0" fillId="0" borderId="10" pivotButton="0" quotePrefix="0" xfId="0"/>
    <xf numFmtId="0" fontId="0" fillId="0" borderId="5" applyAlignment="1" pivotButton="0" quotePrefix="0" xfId="0">
      <alignment wrapText="1"/>
    </xf>
    <xf numFmtId="0" fontId="0" fillId="0" borderId="0" applyAlignment="1" pivotButton="0" quotePrefix="0" xfId="0">
      <alignment wrapText="1"/>
    </xf>
    <xf numFmtId="0" fontId="0" fillId="0" borderId="1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10" applyAlignment="1" pivotButton="0" quotePrefix="0" xfId="0">
      <alignment vertical="top" wrapText="1"/>
    </xf>
    <xf numFmtId="0" fontId="0" fillId="5" borderId="4" applyAlignment="1" pivotButton="0" quotePrefix="0" xfId="0">
      <alignment vertical="top" wrapText="1"/>
    </xf>
    <xf numFmtId="0" fontId="0" fillId="5" borderId="7" applyAlignment="1" pivotButton="0" quotePrefix="0" xfId="0">
      <alignment vertical="top" wrapText="1"/>
    </xf>
    <xf numFmtId="0" fontId="0" fillId="5" borderId="9" applyAlignment="1" pivotButton="0" quotePrefix="0" xfId="0">
      <alignment vertical="top" wrapText="1"/>
    </xf>
    <xf numFmtId="0" fontId="8" fillId="5" borderId="4" applyAlignment="1" pivotButton="0" quotePrefix="0" xfId="0">
      <alignment vertical="top" wrapText="1"/>
    </xf>
    <xf numFmtId="0" fontId="8" fillId="5" borderId="7" applyAlignment="1" pivotButton="0" quotePrefix="0" xfId="0">
      <alignment vertical="top" wrapText="1"/>
    </xf>
    <xf numFmtId="0" fontId="8" fillId="5" borderId="9" applyAlignment="1" pivotButton="0" quotePrefix="0" xfId="0">
      <alignment vertical="top" wrapText="1"/>
    </xf>
    <xf numFmtId="0" fontId="1" fillId="2" borderId="0" applyAlignment="1" pivotButton="0" quotePrefix="0" xfId="0">
      <alignment horizontal="left" vertical="center" wrapText="1"/>
    </xf>
    <xf numFmtId="0" fontId="4" fillId="5" borderId="0" applyAlignment="1" pivotButton="0" quotePrefix="0" xfId="0">
      <alignment horizontal="center" wrapText="1"/>
    </xf>
    <xf numFmtId="3" fontId="4" fillId="5" borderId="0" applyAlignment="1" pivotButton="0" quotePrefix="0" xfId="0">
      <alignment horizontal="right" wrapText="1"/>
    </xf>
    <xf numFmtId="164" fontId="5" fillId="6" borderId="0" applyAlignment="1" pivotButton="0" quotePrefix="0" xfId="0">
      <alignment horizontal="right" wrapText="1"/>
    </xf>
    <xf numFmtId="2" fontId="5" fillId="6" borderId="0" applyAlignment="1" pivotButton="0" quotePrefix="0" xfId="0">
      <alignment horizontal="right" wrapText="1"/>
    </xf>
    <xf numFmtId="0" fontId="3" fillId="7" borderId="0" applyAlignment="1" pivotButton="0" quotePrefix="0" xfId="0">
      <alignment wrapText="1"/>
    </xf>
    <xf numFmtId="0" fontId="3" fillId="4" borderId="0" applyAlignment="1" pivotButton="0" quotePrefix="0" xfId="0">
      <alignment wrapText="1"/>
    </xf>
    <xf numFmtId="0" fontId="5" fillId="6" borderId="0" applyAlignment="1" pivotButton="0" quotePrefix="0" xfId="0">
      <alignment horizontal="center" wrapText="1"/>
    </xf>
    <xf numFmtId="0" fontId="1" fillId="2" borderId="0" applyAlignment="1" pivotButton="0" quotePrefix="0" xfId="0">
      <alignment horizontal="left" vertical="top" wrapText="1"/>
    </xf>
    <xf numFmtId="0" fontId="2" fillId="3" borderId="0" applyAlignment="1" pivotButton="0" quotePrefix="0" xfId="0">
      <alignment vertical="top" wrapText="1"/>
    </xf>
    <xf numFmtId="0" fontId="3" fillId="4" borderId="1" applyAlignment="1" pivotButton="0" quotePrefix="0" xfId="0">
      <alignment horizontal="center" vertical="top" wrapText="1"/>
    </xf>
    <xf numFmtId="0" fontId="3" fillId="4" borderId="2" applyAlignment="1" pivotButton="0" quotePrefix="0" xfId="0">
      <alignment horizontal="center" vertical="top" wrapText="1"/>
    </xf>
    <xf numFmtId="0" fontId="3" fillId="4" borderId="3" applyAlignment="1" pivotButton="0" quotePrefix="0" xfId="0">
      <alignment horizontal="center" vertical="top" wrapText="1"/>
    </xf>
    <xf numFmtId="0" fontId="4" fillId="5" borderId="0" applyAlignment="1" pivotButton="0" quotePrefix="0" xfId="0">
      <alignment horizontal="center" vertical="top" wrapText="1"/>
    </xf>
    <xf numFmtId="3" fontId="4" fillId="5" borderId="0" applyAlignment="1" pivotButton="0" quotePrefix="0" xfId="0">
      <alignment horizontal="right" vertical="top" wrapText="1"/>
    </xf>
    <xf numFmtId="164" fontId="5" fillId="6" borderId="0" applyAlignment="1" pivotButton="0" quotePrefix="0" xfId="0">
      <alignment horizontal="right" vertical="top" wrapText="1"/>
    </xf>
    <xf numFmtId="2" fontId="5" fillId="6" borderId="0" applyAlignment="1" pivotButton="0" quotePrefix="0" xfId="0">
      <alignment horizontal="right" vertical="top" wrapText="1"/>
    </xf>
    <xf numFmtId="0" fontId="3" fillId="7" borderId="0" applyAlignment="1" pivotButton="0" quotePrefix="0" xfId="0">
      <alignment vertical="top" wrapText="1"/>
    </xf>
    <xf numFmtId="0" fontId="3" fillId="4" borderId="0" applyAlignment="1" pivotButton="0" quotePrefix="0" xfId="0">
      <alignment vertical="top" wrapText="1"/>
    </xf>
    <xf numFmtId="0" fontId="5" fillId="6" borderId="0" applyAlignment="1" pivotButton="0" quotePrefix="0" xfId="0">
      <alignment horizontal="center" vertical="top" wrapText="1"/>
    </xf>
    <xf numFmtId="0" fontId="7" fillId="3" borderId="0" applyAlignment="1" pivotButton="0" quotePrefix="0" xfId="0">
      <alignment vertical="top" wrapText="1"/>
    </xf>
    <xf numFmtId="0" fontId="8" fillId="5" borderId="0" applyAlignment="1" pivotButton="0" quotePrefix="0" xfId="0">
      <alignment vertical="top" wrapText="1"/>
    </xf>
    <xf numFmtId="3" fontId="4" fillId="5" borderId="0" applyAlignment="1" pivotButton="0" quotePrefix="0" xfId="0">
      <alignment horizontal="right" vertical="top" wrapText="1"/>
    </xf>
    <xf numFmtId="164" fontId="5" fillId="6" borderId="0" applyAlignment="1" pivotButton="0" quotePrefix="0" xfId="0">
      <alignment horizontal="right" vertical="top" wrapText="1"/>
    </xf>
    <xf numFmtId="2" fontId="5" fillId="6" borderId="0" applyAlignment="1" pivotButton="0" quotePrefix="0" xfId="0">
      <alignment horizontal="right" vertical="top" wrapText="1"/>
    </xf>
    <xf numFmtId="3" fontId="0" fillId="0" borderId="5" applyAlignment="1" pivotButton="0" quotePrefix="0" xfId="0">
      <alignment horizontal="right" vertical="top" wrapText="1"/>
    </xf>
    <xf numFmtId="3" fontId="0" fillId="0" borderId="0" applyAlignment="1" pivotButton="0" quotePrefix="0" xfId="0">
      <alignment horizontal="right" vertical="top" wrapText="1"/>
    </xf>
    <xf numFmtId="3" fontId="0" fillId="0" borderId="10" applyAlignment="1" pivotButton="0" quotePrefix="0" xfId="0">
      <alignment horizontal="right" vertical="top" wrapText="1"/>
    </xf>
    <xf numFmtId="1" fontId="0" fillId="0" borderId="5" applyAlignment="1" pivotButton="0" quotePrefix="0" xfId="0">
      <alignment horizontal="right" vertical="top" wrapText="1"/>
    </xf>
    <xf numFmtId="2" fontId="0" fillId="0" borderId="5" applyAlignment="1" pivotButton="0" quotePrefix="0" xfId="0">
      <alignment horizontal="right" vertical="top" wrapText="1"/>
    </xf>
    <xf numFmtId="1" fontId="0" fillId="0" borderId="0" applyAlignment="1" pivotButton="0" quotePrefix="0" xfId="0">
      <alignment horizontal="right" vertical="top" wrapText="1"/>
    </xf>
    <xf numFmtId="2" fontId="0" fillId="0" borderId="0" applyAlignment="1" pivotButton="0" quotePrefix="0" xfId="0">
      <alignment horizontal="right" vertical="top" wrapText="1"/>
    </xf>
    <xf numFmtId="1" fontId="0" fillId="0" borderId="10" applyAlignment="1" pivotButton="0" quotePrefix="0" xfId="0">
      <alignment horizontal="right" vertical="top" wrapText="1"/>
    </xf>
    <xf numFmtId="2" fontId="0" fillId="0" borderId="10" applyAlignment="1" pivotButton="0" quotePrefix="0" xfId="0">
      <alignment horizontal="right" vertical="top" wrapText="1"/>
    </xf>
    <xf numFmtId="165" fontId="0" fillId="0" borderId="5" applyAlignment="1" pivotButton="0" quotePrefix="0" xfId="0">
      <alignment horizontal="right" vertical="top" wrapText="1"/>
    </xf>
    <xf numFmtId="164" fontId="0" fillId="0" borderId="5" applyAlignment="1" pivotButton="0" quotePrefix="0" xfId="0">
      <alignment horizontal="right" vertical="top" wrapText="1"/>
    </xf>
    <xf numFmtId="166" fontId="0" fillId="0" borderId="5" applyAlignment="1" pivotButton="0" quotePrefix="0" xfId="0">
      <alignment vertical="top" wrapText="1"/>
    </xf>
    <xf numFmtId="165" fontId="0" fillId="0" borderId="0" applyAlignment="1" pivotButton="0" quotePrefix="0" xfId="0">
      <alignment horizontal="right" vertical="top" wrapText="1"/>
    </xf>
    <xf numFmtId="164" fontId="0" fillId="0" borderId="0" applyAlignment="1" pivotButton="0" quotePrefix="0" xfId="0">
      <alignment horizontal="right" vertical="top" wrapText="1"/>
    </xf>
    <xf numFmtId="166" fontId="0" fillId="0" borderId="0" applyAlignment="1" pivotButton="0" quotePrefix="0" xfId="0">
      <alignment vertical="top" wrapText="1"/>
    </xf>
    <xf numFmtId="165" fontId="0" fillId="0" borderId="10" applyAlignment="1" pivotButton="0" quotePrefix="0" xfId="0">
      <alignment horizontal="right" vertical="top" wrapText="1"/>
    </xf>
    <xf numFmtId="164" fontId="0" fillId="0" borderId="10" applyAlignment="1" pivotButton="0" quotePrefix="0" xfId="0">
      <alignment horizontal="right" vertical="top" wrapText="1"/>
    </xf>
    <xf numFmtId="166" fontId="0" fillId="0" borderId="10" applyAlignment="1" pivotButton="0" quotePrefix="0" xfId="0">
      <alignment vertical="top" wrapText="1"/>
    </xf>
    <xf numFmtId="0" fontId="9" fillId="0" borderId="0" pivotButton="0" quotePrefix="0" xfId="0"/>
    <xf numFmtId="0" fontId="10" fillId="9" borderId="0" pivotButton="0" quotePrefix="0" xfId="0"/>
    <xf numFmtId="0" fontId="0" fillId="10" borderId="0" applyAlignment="1" pivotButton="0" quotePrefix="0" xfId="0">
      <alignment vertical="top" wrapText="1"/>
    </xf>
    <xf numFmtId="0" fontId="10" fillId="11" borderId="12" applyAlignment="1" pivotButton="0" quotePrefix="0" xfId="0">
      <alignment horizontal="center"/>
    </xf>
    <xf numFmtId="0" fontId="0" fillId="0" borderId="12" pivotButton="0" quotePrefix="0" xfId="0"/>
    <xf numFmtId="0" fontId="11" fillId="0" borderId="12" pivotButton="0" quotePrefix="0" xfId="0"/>
    <xf numFmtId="0" fontId="10" fillId="12" borderId="0" pivotButton="0" quotePrefix="0" xfId="0"/>
    <xf numFmtId="0" fontId="12" fillId="0" borderId="0" applyAlignment="1" pivotButton="0" quotePrefix="0" xfId="0">
      <alignment vertical="top" wrapText="1"/>
    </xf>
    <xf numFmtId="0" fontId="13" fillId="0" borderId="0" pivotButton="0" quotePrefix="0" xfId="0"/>
    <xf numFmtId="0" fontId="14" fillId="0" borderId="0" pivotButton="0" quotePrefix="0" xfId="0"/>
    <xf numFmtId="0" fontId="10" fillId="11" borderId="12" pivotButton="0" quotePrefix="0" xfId="0"/>
    <xf numFmtId="0" fontId="13" fillId="0" borderId="12" pivotButton="0" quotePrefix="0" xfId="0"/>
    <xf numFmtId="0" fontId="0" fillId="0" borderId="1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Relationships xmlns="http://schemas.openxmlformats.org/package/2006/relationships"><Relationship Type="http://schemas.openxmlformats.org/officeDocument/2006/relationships/hyperlink" Target="https://fr.aliexpress.com/item/1005008248103321.html" TargetMode="External" Id="rId1" /><Relationship Type="http://schemas.openxmlformats.org/officeDocument/2006/relationships/hyperlink" Target="https://fr.aliexpress.com/item/1005007834250154.html" TargetMode="External" Id="rId2" /><Relationship Type="http://schemas.openxmlformats.org/officeDocument/2006/relationships/hyperlink" Target="https://fr.aliexpress.com/item/1005007622561877.html" TargetMode="External" Id="rId3" /><Relationship Type="http://schemas.openxmlformats.org/officeDocument/2006/relationships/hyperlink" Target="https://fr.aliexpress.com/item/1005011824848083.html" TargetMode="External" Id="rId4" /><Relationship Type="http://schemas.openxmlformats.org/officeDocument/2006/relationships/hyperlink" Target="https://fr.aliexpress.com/item/1005009045187650.html" TargetMode="External" Id="rId5" /><Relationship Type="http://schemas.openxmlformats.org/officeDocument/2006/relationships/hyperlink" Target="https://fr.aliexpress.com/item/1005007302329652.html" TargetMode="External" Id="rId6" /><Relationship Type="http://schemas.openxmlformats.org/officeDocument/2006/relationships/hyperlink" Target="https://fr.aliexpress.com/item/1005010530295136.html" TargetMode="External" Id="rId7" /><Relationship Type="http://schemas.openxmlformats.org/officeDocument/2006/relationships/hyperlink" Target="https://fr.aliexpress.com/item/1005010285530350.html" TargetMode="External" Id="rId8" /><Relationship Type="http://schemas.openxmlformats.org/officeDocument/2006/relationships/hyperlink" Target="https://fr.aliexpress.com/item/1005007693610569.html" TargetMode="External" Id="rId9" /><Relationship Type="http://schemas.openxmlformats.org/officeDocument/2006/relationships/hyperlink" Target="https://fr.aliexpress.com/item/1005009262008552.html" TargetMode="External" Id="rId10" /><Relationship Type="http://schemas.openxmlformats.org/officeDocument/2006/relationships/hyperlink" Target="https://fr.aliexpress.com/item/1005007038593155.html" TargetMode="External" Id="rId11" /><Relationship Type="http://schemas.openxmlformats.org/officeDocument/2006/relationships/hyperlink" Target="https://fr.aliexpress.com/item/1005007311216564.html" TargetMode="External" Id="rId12" /><Relationship Type="http://schemas.openxmlformats.org/officeDocument/2006/relationships/hyperlink" Target="https://fr.aliexpress.com/item/1005009133654750.html" TargetMode="External" Id="rId13" /><Relationship Type="http://schemas.openxmlformats.org/officeDocument/2006/relationships/hyperlink" Target="https://fr.aliexpress.com/item/1005010572734415.html" TargetMode="External" Id="rId14" /><Relationship Type="http://schemas.openxmlformats.org/officeDocument/2006/relationships/hyperlink" Target="https://fr.aliexpress.com/item/1005012304363196.html" TargetMode="External" Id="rId15" /><Relationship Type="http://schemas.openxmlformats.org/officeDocument/2006/relationships/hyperlink" Target="https://fr.aliexpress.com/item/1005007942123067.html" TargetMode="External" Id="rId16" /><Relationship Type="http://schemas.openxmlformats.org/officeDocument/2006/relationships/hyperlink" Target="https://fr.aliexpress.com/item/1005009587814462.html" TargetMode="External" Id="rId17" /><Relationship Type="http://schemas.openxmlformats.org/officeDocument/2006/relationships/hyperlink" Target="https://fr.aliexpress.com/item/1005009278092348.html" TargetMode="External" Id="rId18" /></Relationships>
</file>

<file path=xl/worksheets/sheet1.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18" customWidth="1" style="111" min="1" max="1"/>
    <col width="26" customWidth="1" style="111" min="2" max="2"/>
    <col width="34" customWidth="1" style="111" min="3" max="3"/>
    <col width="18" customWidth="1" style="111" min="4" max="4"/>
    <col width="44" customWidth="1" style="111" min="5" max="5"/>
    <col width="18" customWidth="1" style="111" min="6" max="6"/>
    <col width="18" customWidth="1" style="111" min="7" max="7"/>
    <col width="18" customWidth="1" style="111" min="8" max="8"/>
    <col width="18" customWidth="1" style="111" min="9" max="9"/>
    <col width="18" customWidth="1" style="111" min="10" max="10"/>
    <col width="18" customWidth="1" style="111" min="11" max="11"/>
    <col width="18" customWidth="1" style="111" min="12" max="12"/>
  </cols>
  <sheetData>
    <row r="1" ht="34" customHeight="1" s="111">
      <c r="A1" s="133" t="inlineStr">
        <is>
          <t>Arborescence SEO - Boutique Coloriages Kawaii</t>
        </is>
      </c>
    </row>
    <row r="2">
      <c r="A2" s="134" t="inlineStr">
        <is>
          <t>Structure de site avec collections basees sur des mots-cles Ahrefs. Chaque collection = un mot-cle cible.</t>
        </is>
      </c>
    </row>
    <row r="3">
      <c r="A3" s="117" t="n"/>
      <c r="B3" s="117" t="n"/>
      <c r="C3" s="117" t="n"/>
      <c r="D3" s="117" t="n"/>
      <c r="E3" s="117" t="n"/>
      <c r="F3" s="117" t="n"/>
      <c r="G3" s="117" t="n"/>
      <c r="H3" s="117" t="n"/>
      <c r="I3" s="117" t="n"/>
      <c r="J3" s="117" t="n"/>
      <c r="K3" s="117" t="n"/>
      <c r="L3" s="117" t="n"/>
    </row>
    <row r="4">
      <c r="A4" s="135" t="inlineStr">
        <is>
          <t>Collections actives</t>
        </is>
      </c>
      <c r="B4" s="136" t="inlineStr">
        <is>
          <t>Volume SEO total</t>
        </is>
      </c>
      <c r="C4" s="137" t="inlineStr">
        <is>
          <t>SKU cible total</t>
        </is>
      </c>
      <c r="D4" s="117" t="n"/>
      <c r="E4" s="135" t="inlineStr">
        <is>
          <t>KD moyen pondere</t>
        </is>
      </c>
      <c r="F4" s="136" t="inlineStr">
        <is>
          <t>CPC moyen pondere</t>
        </is>
      </c>
      <c r="G4" s="137" t="inlineStr">
        <is>
          <t>Prix moyen cible</t>
        </is>
      </c>
      <c r="H4" s="117" t="n"/>
      <c r="I4" s="117" t="n"/>
      <c r="J4" s="117" t="n"/>
      <c r="K4" s="117" t="n"/>
      <c r="L4" s="117" t="n"/>
    </row>
    <row r="5">
      <c r="A5" s="138">
        <f>COUNTIF(Collections!$D$4:$D$18,"Oui")</f>
        <v/>
      </c>
      <c r="B5" s="147">
        <f>SUM(Collections!$F$4:$F$18)</f>
        <v/>
      </c>
      <c r="C5" s="147">
        <f>SUM(Collections!$K$4:$K$18)</f>
        <v/>
      </c>
      <c r="D5" s="117" t="n"/>
      <c r="E5" s="148">
        <f>ROUND(SUMPRODUCT(Collections!$F$4:$F$18,Collections!$G$4:$G$18)/SUM(Collections!$F$4:$F$18),1)</f>
        <v/>
      </c>
      <c r="F5" s="149">
        <f>ROUND(SUMPRODUCT(Collections!$F$4:$F$18,Collections!$H$4:$H$18)/SUMIF(Collections!$H$4:$H$18,"&gt;0",Collections!$F$4:$F$18),2)</f>
        <v/>
      </c>
      <c r="G5" s="148">
        <f>ROUND(AVERAGE(Collections!$L$4:$L$18),1)</f>
        <v/>
      </c>
      <c r="H5" s="117" t="n"/>
      <c r="I5" s="117" t="n"/>
      <c r="J5" s="117" t="n"/>
      <c r="K5" s="117" t="n"/>
      <c r="L5" s="117" t="n"/>
    </row>
    <row r="6">
      <c r="A6" s="117" t="n"/>
      <c r="B6" s="117" t="n"/>
      <c r="C6" s="117" t="n"/>
      <c r="D6" s="117" t="n"/>
      <c r="E6" s="117" t="n"/>
      <c r="F6" s="117" t="n"/>
      <c r="G6" s="117" t="n"/>
      <c r="H6" s="117" t="n"/>
      <c r="I6" s="117" t="n"/>
      <c r="J6" s="117" t="n"/>
      <c r="K6" s="117" t="n"/>
      <c r="L6" s="117" t="n"/>
    </row>
    <row r="7">
      <c r="A7" s="117" t="n"/>
      <c r="B7" s="117" t="n"/>
      <c r="C7" s="117" t="n"/>
      <c r="D7" s="117" t="n"/>
      <c r="E7" s="117" t="n"/>
      <c r="F7" s="117" t="n"/>
      <c r="G7" s="117" t="n"/>
      <c r="H7" s="117" t="n"/>
      <c r="I7" s="117" t="n"/>
      <c r="J7" s="117" t="n"/>
      <c r="K7" s="117" t="n"/>
      <c r="L7" s="117" t="n"/>
    </row>
    <row r="8">
      <c r="A8" s="142" t="inlineStr">
        <is>
          <t>Roadmap recommandee</t>
        </is>
      </c>
    </row>
    <row r="9">
      <c r="A9" s="69" t="inlineStr">
        <is>
          <t>1</t>
        </is>
      </c>
      <c r="B9" s="72" t="inlineStr">
        <is>
          <t>Lancer les collections P1</t>
        </is>
      </c>
      <c r="C9" s="72" t="inlineStr">
        <is>
          <t>Coloriage kawaii, adulte, magique, mystere, cosy et feutre acrylique.</t>
        </is>
      </c>
      <c r="D9" s="56" t="inlineStr">
        <is>
          <t>Objectif : capter les plus gros volumes avec des pages de collection solides et des bundles physiques.</t>
        </is>
      </c>
      <c r="E9" s="110" t="n"/>
      <c r="F9" s="110" t="n"/>
      <c r="G9" s="110" t="n"/>
      <c r="H9" s="110" t="n"/>
      <c r="I9" s="110" t="n"/>
      <c r="J9" s="110" t="n"/>
      <c r="K9" s="110" t="n"/>
      <c r="L9" s="38" t="n"/>
    </row>
    <row r="10">
      <c r="A10" s="70" t="inlineStr">
        <is>
          <t>2</t>
        </is>
      </c>
      <c r="B10" s="73" t="inlineStr">
        <is>
          <t>Construire 300+ SKU</t>
        </is>
      </c>
      <c r="C10" s="73" t="inlineStr">
        <is>
          <t>Repartir les SKU selon SKU_Plan, en commencant par les packs et kits a forte marge.</t>
        </is>
      </c>
      <c r="D10" s="59" t="inlineStr">
        <is>
          <t>Eviter les fichiers gratuits : vendre des objets physiques, lots et personnalisations.</t>
        </is>
      </c>
      <c r="L10" s="41" t="n"/>
    </row>
    <row r="11">
      <c r="A11" s="70" t="inlineStr">
        <is>
          <t>3</t>
        </is>
      </c>
      <c r="B11" s="73" t="inlineStr">
        <is>
          <t>Maillage interne</t>
        </is>
      </c>
      <c r="C11" s="73" t="inlineStr">
        <is>
          <t>Chaque page P2 remonte vers coloriage kawaii et vers l'accessoire le plus logique.</t>
        </is>
      </c>
      <c r="D11" s="59" t="inlineStr">
        <is>
          <t>Ex : coloriage manga -&gt; feutre a alcool; coloriage cosy -&gt; marque page personnalise.</t>
        </is>
      </c>
      <c r="L11" s="41" t="n"/>
    </row>
    <row r="12">
      <c r="A12" s="70" t="inlineStr">
        <is>
          <t>4</t>
        </is>
      </c>
      <c r="B12" s="73" t="inlineStr">
        <is>
          <t>Contenu SEO</t>
        </is>
      </c>
      <c r="C12" s="73" t="inlineStr">
        <is>
          <t>Ajouter guides courts sur les pages collection et 8-12 articles blog top-funnel.</t>
        </is>
      </c>
      <c r="D12" s="59" t="inlineStr">
        <is>
          <t>Blog uniquement pour alimenter les collections, pas comme destination principale.</t>
        </is>
      </c>
      <c r="L12" s="41" t="n"/>
    </row>
    <row r="13">
      <c r="A13" s="71" t="inlineStr">
        <is>
          <t>5</t>
        </is>
      </c>
      <c r="B13" s="74" t="inlineStr">
        <is>
          <t>Sourcing</t>
        </is>
      </c>
      <c r="C13" s="74" t="inlineStr">
        <is>
          <t>Exclure les licences et personnages proteges.</t>
        </is>
      </c>
      <c r="D13" s="62" t="inlineStr">
        <is>
          <t>Utiliser des designs originaux kawaii, chibi, animaux, cocooning, football generique.</t>
        </is>
      </c>
      <c r="E13" s="112" t="n"/>
      <c r="F13" s="112" t="n"/>
      <c r="G13" s="112" t="n"/>
      <c r="H13" s="112" t="n"/>
      <c r="I13" s="112" t="n"/>
      <c r="J13" s="112" t="n"/>
      <c r="K13" s="112" t="n"/>
      <c r="L13" s="44" t="n"/>
    </row>
    <row r="14">
      <c r="A14" s="117" t="n"/>
      <c r="B14" s="117" t="n"/>
      <c r="C14" s="117" t="n"/>
      <c r="D14" s="117" t="n"/>
      <c r="E14" s="117" t="n"/>
      <c r="F14" s="117" t="n"/>
      <c r="G14" s="117" t="n"/>
      <c r="H14" s="117" t="n"/>
      <c r="I14" s="117" t="n"/>
      <c r="J14" s="117" t="n"/>
      <c r="K14" s="117" t="n"/>
      <c r="L14" s="117" t="n"/>
    </row>
    <row r="15">
      <c r="A15" s="117" t="n"/>
      <c r="B15" s="117" t="n"/>
      <c r="C15" s="117" t="n"/>
      <c r="D15" s="117" t="n"/>
      <c r="E15" s="117" t="n"/>
      <c r="F15" s="117" t="n"/>
      <c r="G15" s="117" t="n"/>
      <c r="H15" s="117" t="n"/>
      <c r="I15" s="117" t="n"/>
      <c r="J15" s="117" t="n"/>
      <c r="K15" s="117" t="n"/>
      <c r="L15" s="117" t="n"/>
    </row>
    <row r="16">
      <c r="A16" s="143" t="inlineStr">
        <is>
          <t>Top collections a creer en premier</t>
        </is>
      </c>
    </row>
    <row r="17">
      <c r="A17" s="135" t="inlineStr">
        <is>
          <t>Priorite</t>
        </is>
      </c>
      <c r="B17" s="136" t="inlineStr">
        <is>
          <t>Collection = mot-cle</t>
        </is>
      </c>
      <c r="C17" s="136" t="inlineStr">
        <is>
          <t>Volume</t>
        </is>
      </c>
      <c r="D17" s="136" t="inlineStr">
        <is>
          <t>SKU cible</t>
        </is>
      </c>
      <c r="E17" s="137" t="inlineStr">
        <is>
          <t>Pourquoi</t>
        </is>
      </c>
      <c r="F17" s="117" t="n"/>
      <c r="G17" s="117" t="n"/>
      <c r="H17" s="117" t="n"/>
      <c r="I17" s="117" t="n"/>
      <c r="J17" s="117" t="n"/>
      <c r="K17" s="117" t="n"/>
      <c r="L17" s="117" t="n"/>
    </row>
    <row r="18">
      <c r="A18" s="54" t="inlineStr">
        <is>
          <t>P1</t>
        </is>
      </c>
      <c r="B18" s="116" t="inlineStr">
        <is>
          <t>coloriage kawaii</t>
        </is>
      </c>
      <c r="C18" s="150" t="n">
        <v>38000</v>
      </c>
      <c r="D18" s="150" t="n">
        <v>45</v>
      </c>
      <c r="E18" s="56" t="inlineStr">
        <is>
          <t>Page pilier et mot-cle exact-match de la marque.</t>
        </is>
      </c>
      <c r="F18" s="117" t="n"/>
      <c r="G18" s="117" t="n"/>
      <c r="H18" s="117" t="n"/>
      <c r="I18" s="117" t="n"/>
      <c r="J18" s="117" t="n"/>
      <c r="K18" s="117" t="n"/>
      <c r="L18" s="117" t="n"/>
    </row>
    <row r="19">
      <c r="A19" s="57" t="inlineStr">
        <is>
          <t>P1</t>
        </is>
      </c>
      <c r="B19" s="117" t="inlineStr">
        <is>
          <t>feutre acrylique</t>
        </is>
      </c>
      <c r="C19" s="151" t="n">
        <v>33000</v>
      </c>
      <c r="D19" s="151" t="n">
        <v>40</v>
      </c>
      <c r="E19" s="59" t="inlineStr">
        <is>
          <t>Accessoire a panier moyen et marge plus forte.</t>
        </is>
      </c>
      <c r="F19" s="117" t="n"/>
      <c r="G19" s="117" t="n"/>
      <c r="H19" s="117" t="n"/>
      <c r="I19" s="117" t="n"/>
      <c r="J19" s="117" t="n"/>
      <c r="K19" s="117" t="n"/>
      <c r="L19" s="117" t="n"/>
    </row>
    <row r="20">
      <c r="A20" s="57" t="inlineStr">
        <is>
          <t>P1</t>
        </is>
      </c>
      <c r="B20" s="117" t="inlineStr">
        <is>
          <t>coloriage adulte</t>
        </is>
      </c>
      <c r="C20" s="151" t="n">
        <v>15000</v>
      </c>
      <c r="D20" s="151" t="n">
        <v>35</v>
      </c>
      <c r="E20" s="59" t="inlineStr">
        <is>
          <t>Segment plus premium, bon pour bundles.</t>
        </is>
      </c>
      <c r="F20" s="117" t="n"/>
      <c r="G20" s="117" t="n"/>
      <c r="H20" s="117" t="n"/>
      <c r="I20" s="117" t="n"/>
      <c r="J20" s="117" t="n"/>
      <c r="K20" s="117" t="n"/>
      <c r="L20" s="117" t="n"/>
    </row>
    <row r="21">
      <c r="A21" s="57" t="inlineStr">
        <is>
          <t>P1</t>
        </is>
      </c>
      <c r="B21" s="117" t="inlineStr">
        <is>
          <t>coloriage magique</t>
        </is>
      </c>
      <c r="C21" s="151" t="n">
        <v>13000</v>
      </c>
      <c r="D21" s="151" t="n">
        <v>30</v>
      </c>
      <c r="E21" s="59" t="inlineStr">
        <is>
          <t>Giftable enfant, bonne intention produit.</t>
        </is>
      </c>
      <c r="F21" s="117" t="n"/>
      <c r="G21" s="117" t="n"/>
      <c r="H21" s="117" t="n"/>
      <c r="I21" s="117" t="n"/>
      <c r="J21" s="117" t="n"/>
      <c r="K21" s="117" t="n"/>
      <c r="L21" s="117" t="n"/>
    </row>
    <row r="22">
      <c r="A22" s="60" t="inlineStr">
        <is>
          <t>P1</t>
        </is>
      </c>
      <c r="B22" s="118" t="inlineStr">
        <is>
          <t>coloriage mystere</t>
        </is>
      </c>
      <c r="C22" s="152" t="n">
        <v>12000</v>
      </c>
      <c r="D22" s="152" t="n">
        <v>30</v>
      </c>
      <c r="E22" s="62" t="inlineStr">
        <is>
          <t>Angle ludique, retention et cross-sell.</t>
        </is>
      </c>
      <c r="F22" s="117" t="n"/>
      <c r="G22" s="117" t="n"/>
      <c r="H22" s="117" t="n"/>
      <c r="I22" s="117" t="n"/>
      <c r="J22" s="117" t="n"/>
      <c r="K22" s="117" t="n"/>
      <c r="L22" s="117" t="n"/>
    </row>
    <row r="23">
      <c r="A23" s="117" t="n"/>
      <c r="B23" s="117" t="n"/>
      <c r="C23" s="117" t="n"/>
      <c r="D23" s="117" t="n"/>
      <c r="E23" s="117" t="n"/>
      <c r="F23" s="117" t="n"/>
      <c r="G23" s="117" t="n"/>
      <c r="H23" s="117" t="n"/>
      <c r="I23" s="117" t="n"/>
      <c r="J23" s="117" t="n"/>
      <c r="K23" s="117" t="n"/>
      <c r="L23" s="117" t="n"/>
    </row>
    <row r="24">
      <c r="A24" s="117" t="n"/>
      <c r="B24" s="117" t="n"/>
      <c r="C24" s="117" t="n"/>
      <c r="D24" s="117" t="n"/>
      <c r="E24" s="117" t="n"/>
      <c r="F24" s="117" t="n"/>
      <c r="G24" s="117" t="n"/>
      <c r="H24" s="117" t="n"/>
      <c r="I24" s="117" t="n"/>
      <c r="J24" s="117" t="n"/>
      <c r="K24" s="117" t="n"/>
      <c r="L24" s="117" t="n"/>
    </row>
    <row r="25">
      <c r="A25" s="142" t="inlineStr">
        <is>
          <t>Veille concurrentielle - pure players spécialisés</t>
        </is>
      </c>
    </row>
    <row r="26">
      <c r="A26" s="135" t="inlineStr">
        <is>
          <t>Concurrents qualifiés</t>
        </is>
      </c>
      <c r="B26" s="136" t="inlineStr">
        <is>
          <t>Sites français inclus</t>
        </is>
      </c>
      <c r="C26" s="136" t="inlineStr">
        <is>
          <t>Menaces hautes</t>
        </is>
      </c>
      <c r="D26" s="137" t="inlineStr">
        <is>
          <t>Faux positifs exclus</t>
        </is>
      </c>
      <c r="E26" s="117" t="n"/>
      <c r="F26" s="117" t="n"/>
      <c r="G26" s="117" t="n"/>
      <c r="H26" s="117" t="n"/>
      <c r="I26" s="117" t="n"/>
      <c r="J26" s="117" t="n"/>
      <c r="K26" s="117" t="n"/>
      <c r="L26" s="117" t="n"/>
    </row>
    <row r="27">
      <c r="A27" s="144">
        <f>COUNTA('Concurrents'!$A$4:$A$17)</f>
        <v/>
      </c>
      <c r="B27" s="144">
        <f>COUNTIF('Concurrents'!$C$4:$C$17,"France / français")+COUNTIF('Concurrents'!$C$4:$C$17,"France / français-anglais")</f>
        <v/>
      </c>
      <c r="C27" s="144">
        <f>COUNTIF('Concurrents'!$M$4:$M$17,"Haute")</f>
        <v/>
      </c>
      <c r="D27" s="144">
        <f>COUNTA('Concurrents'!$A$22:$A$32)</f>
        <v/>
      </c>
      <c r="E27" s="117" t="n"/>
      <c r="F27" s="117" t="n"/>
      <c r="G27" s="117" t="n"/>
      <c r="H27" s="117" t="n"/>
      <c r="I27" s="117" t="n"/>
      <c r="J27" s="117" t="n"/>
      <c r="K27" s="117" t="n"/>
      <c r="L27" s="117" t="n"/>
    </row>
    <row r="28">
      <c r="A28" s="117" t="n"/>
      <c r="B28" s="117" t="n"/>
      <c r="C28" s="117" t="n"/>
      <c r="D28" s="117" t="n"/>
      <c r="E28" s="117" t="n"/>
      <c r="F28" s="117" t="n"/>
      <c r="G28" s="117" t="n"/>
      <c r="H28" s="117" t="n"/>
      <c r="I28" s="117" t="n"/>
      <c r="J28" s="117" t="n"/>
      <c r="K28" s="117" t="n"/>
      <c r="L28" s="117" t="n"/>
    </row>
    <row r="29">
      <c r="A29" s="145" t="inlineStr">
        <is>
          <t>Espace FR encore peu occupé : AICrayons et MyCuttieBox sont les plus proches localement; Belly Bean et Bobbie Goods sont les menaces internationales, Cozykleuren le meilleur modèle de catalogue.</t>
        </is>
      </c>
    </row>
  </sheetData>
  <mergeCells count="11">
    <mergeCell ref="D10:L10"/>
    <mergeCell ref="A2:L2"/>
    <mergeCell ref="A16:L16"/>
    <mergeCell ref="A29:L29"/>
    <mergeCell ref="D11:L11"/>
    <mergeCell ref="D13:L13"/>
    <mergeCell ref="A25:L25"/>
    <mergeCell ref="A1:L1"/>
    <mergeCell ref="A8:L8"/>
    <mergeCell ref="D9:L9"/>
    <mergeCell ref="D12:L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4"/>
  <sheetViews>
    <sheetView showGridLines="0" workbookViewId="0">
      <selection activeCell="A1" sqref="A1"/>
    </sheetView>
  </sheetViews>
  <sheetFormatPr baseColWidth="8" defaultRowHeight="15"/>
  <cols>
    <col width="8" customWidth="1" style="111" min="1" max="1"/>
    <col width="22" customWidth="1" style="111" min="2" max="2"/>
    <col width="22" customWidth="1" style="111" min="3" max="3"/>
    <col width="28" customWidth="1" style="111" min="4" max="4"/>
    <col width="34" customWidth="1" style="111" min="5" max="5"/>
    <col width="28" customWidth="1" style="111" min="6" max="6"/>
    <col width="12" customWidth="1" style="111" min="7" max="7"/>
    <col width="12" customWidth="1" style="111" min="8" max="8"/>
    <col width="12" customWidth="1" style="111" min="9" max="9"/>
    <col width="12" customWidth="1" style="111" min="10" max="10"/>
    <col width="12" customWidth="1" style="111" min="11" max="11"/>
    <col width="12" customWidth="1" style="111" min="12" max="12"/>
    <col width="34" customWidth="1" style="111" min="13" max="13"/>
    <col width="36" customWidth="1" style="111" min="14" max="14"/>
    <col width="54" customWidth="1" style="111" min="15" max="15"/>
    <col width="36" customWidth="1" style="111" min="16" max="16"/>
    <col width="50" customWidth="1" style="111" min="17" max="17"/>
  </cols>
  <sheetData>
    <row r="1" ht="34" customHeight="1" s="111">
      <c r="A1" s="133" t="inlineStr">
        <is>
          <t>Arborescence de site - Coloriages Kawaii</t>
        </is>
      </c>
    </row>
    <row r="2">
      <c r="A2" s="117" t="n"/>
      <c r="B2" s="117" t="n"/>
      <c r="C2" s="117" t="n"/>
      <c r="D2" s="117" t="n"/>
      <c r="E2" s="117" t="n"/>
      <c r="F2" s="117" t="n"/>
      <c r="G2" s="117" t="n"/>
      <c r="H2" s="117" t="n"/>
      <c r="I2" s="117" t="n"/>
      <c r="J2" s="117" t="n"/>
      <c r="K2" s="117" t="n"/>
      <c r="L2" s="117" t="n"/>
      <c r="M2" s="117" t="n"/>
      <c r="N2" s="117" t="n"/>
      <c r="O2" s="117" t="n"/>
      <c r="P2" s="117" t="n"/>
      <c r="Q2" s="117" t="n"/>
    </row>
    <row r="3">
      <c r="A3" s="135" t="inlineStr">
        <is>
          <t>Niveau</t>
        </is>
      </c>
      <c r="B3" s="136" t="inlineStr">
        <is>
          <t>Type page</t>
        </is>
      </c>
      <c r="C3" s="136" t="inlineStr">
        <is>
          <t>Parent</t>
        </is>
      </c>
      <c r="D3" s="136" t="inlineStr">
        <is>
          <t>Collection = mot-cle</t>
        </is>
      </c>
      <c r="E3" s="136" t="inlineStr">
        <is>
          <t>URL</t>
        </is>
      </c>
      <c r="F3" s="136" t="inlineStr">
        <is>
          <t>H1</t>
        </is>
      </c>
      <c r="G3" s="136" t="inlineStr">
        <is>
          <t>Volume FR</t>
        </is>
      </c>
      <c r="H3" s="136" t="inlineStr">
        <is>
          <t>KD</t>
        </is>
      </c>
      <c r="I3" s="136" t="inlineStr">
        <is>
          <t>CPC</t>
        </is>
      </c>
      <c r="J3" s="136" t="inlineStr">
        <is>
          <t>Intention</t>
        </is>
      </c>
      <c r="K3" s="136" t="inlineStr">
        <is>
          <t>Priorite</t>
        </is>
      </c>
      <c r="L3" s="136" t="inlineStr">
        <is>
          <t>SKU cible</t>
        </is>
      </c>
      <c r="M3" s="136" t="inlineStr">
        <is>
          <t>Role SEO</t>
        </is>
      </c>
      <c r="N3" s="136" t="inlineStr">
        <is>
          <t>Meta title</t>
        </is>
      </c>
      <c r="O3" s="136" t="inlineStr">
        <is>
          <t>Meta description</t>
        </is>
      </c>
      <c r="P3" s="136" t="inlineStr">
        <is>
          <t>Maillage interne</t>
        </is>
      </c>
      <c r="Q3" s="137" t="inlineStr">
        <is>
          <t>Notes</t>
        </is>
      </c>
    </row>
    <row r="4">
      <c r="A4" s="54" t="n">
        <v>0</v>
      </c>
      <c r="B4" s="116" t="inlineStr">
        <is>
          <t>Accueil / hub marque</t>
        </is>
      </c>
      <c r="C4" s="116" t="inlineStr">
        <is>
          <t>-</t>
        </is>
      </c>
      <c r="D4" s="116" t="inlineStr">
        <is>
          <t>coloriage kawaii</t>
        </is>
      </c>
      <c r="E4" s="116" t="inlineStr">
        <is>
          <t>/</t>
        </is>
      </c>
      <c r="F4" s="116" t="inlineStr">
        <is>
          <t>Coloriage Kawaii</t>
        </is>
      </c>
      <c r="G4" s="150" t="n">
        <v>38000</v>
      </c>
      <c r="H4" s="153" t="n">
        <v>1</v>
      </c>
      <c r="I4" s="154" t="n">
        <v>0.06</v>
      </c>
      <c r="J4" s="116" t="inlineStr">
        <is>
          <t>Marque + commerciale</t>
        </is>
      </c>
      <c r="K4" s="116" t="inlineStr">
        <is>
          <t>P1</t>
        </is>
      </c>
      <c r="L4" s="150" t="n">
        <v>0</v>
      </c>
      <c r="M4" s="116" t="inlineStr">
        <is>
          <t>Page d'entree marque, rassurance, best-sellers et collections P1.</t>
        </is>
      </c>
      <c r="N4" s="116" t="inlineStr">
        <is>
          <t>Coloriage Kawaii | Kits, carnets et feutres mignons</t>
        </is>
      </c>
      <c r="O4" s="116" t="inlineStr">
        <is>
          <t>Boutique de coloriages kawaii, carnets creatifs, feutres et kits cadeaux pour enfants et adultes.</t>
        </is>
      </c>
      <c r="P4" s="116" t="inlineStr">
        <is>
          <t>Liens directs vers toutes les collections P1 et accessoires.</t>
        </is>
      </c>
      <c r="Q4" s="56" t="inlineStr">
        <is>
          <t>Ne pas surcharger en texte : montrer les produits et bundles.</t>
        </is>
      </c>
    </row>
    <row r="5">
      <c r="A5" s="57" t="n">
        <v>1</v>
      </c>
      <c r="B5" s="117" t="inlineStr">
        <is>
          <t>Hub menu non-collection</t>
        </is>
      </c>
      <c r="C5" s="117" t="inlineStr">
        <is>
          <t>/</t>
        </is>
      </c>
      <c r="D5" s="117" t="str"/>
      <c r="E5" s="117" t="inlineStr">
        <is>
          <t>/univers/coloriage-kawaii</t>
        </is>
      </c>
      <c r="F5" s="117" t="inlineStr">
        <is>
          <t>Coloriages kawaii</t>
        </is>
      </c>
      <c r="G5" s="151" t="str"/>
      <c r="H5" s="155" t="str"/>
      <c r="I5" s="156" t="str"/>
      <c r="J5" s="117" t="inlineStr">
        <is>
          <t>Navigation</t>
        </is>
      </c>
      <c r="K5" s="117" t="str"/>
      <c r="L5" s="151" t="str"/>
      <c r="M5" s="117" t="inlineStr">
        <is>
          <t>Regroupe les collections sans cannibaliser les mots-cles exacts.</t>
        </is>
      </c>
      <c r="N5" s="117" t="inlineStr">
        <is>
          <t>Coloriages kawaii</t>
        </is>
      </c>
      <c r="O5" s="117" t="inlineStr">
        <is>
          <t>Selection coloriages pour orienter le visiteur vers les collections.</t>
        </is>
      </c>
      <c r="P5" s="117" t="inlineStr">
        <is>
          <t>Liens vers collections du meme pilier.</t>
        </is>
      </c>
      <c r="Q5" s="59" t="inlineStr">
        <is>
          <t>Menu principal</t>
        </is>
      </c>
    </row>
    <row r="6">
      <c r="A6" s="57" t="n">
        <v>1</v>
      </c>
      <c r="B6" s="117" t="inlineStr">
        <is>
          <t>Hub menu non-collection</t>
        </is>
      </c>
      <c r="C6" s="117" t="inlineStr">
        <is>
          <t>/</t>
        </is>
      </c>
      <c r="D6" s="117" t="str"/>
      <c r="E6" s="117" t="inlineStr">
        <is>
          <t>/univers/feutre-acrylique</t>
        </is>
      </c>
      <c r="F6" s="117" t="inlineStr">
        <is>
          <t>Feutres et accessoires</t>
        </is>
      </c>
      <c r="G6" s="151" t="str"/>
      <c r="H6" s="155" t="str"/>
      <c r="I6" s="156" t="str"/>
      <c r="J6" s="117" t="inlineStr">
        <is>
          <t>Navigation</t>
        </is>
      </c>
      <c r="K6" s="117" t="str"/>
      <c r="L6" s="151" t="str"/>
      <c r="M6" s="117" t="inlineStr">
        <is>
          <t>Regroupe les collections sans cannibaliser les mots-cles exacts.</t>
        </is>
      </c>
      <c r="N6" s="117" t="inlineStr">
        <is>
          <t>Feutres et accessoires</t>
        </is>
      </c>
      <c r="O6" s="117" t="inlineStr">
        <is>
          <t>Selection accessoires pour orienter le visiteur vers les collections.</t>
        </is>
      </c>
      <c r="P6" s="117" t="inlineStr">
        <is>
          <t>Liens vers collections du meme pilier.</t>
        </is>
      </c>
      <c r="Q6" s="59" t="inlineStr">
        <is>
          <t>Menu principal</t>
        </is>
      </c>
    </row>
    <row r="7">
      <c r="A7" s="57" t="n">
        <v>1</v>
      </c>
      <c r="B7" s="117" t="inlineStr">
        <is>
          <t>Hub menu non-collection</t>
        </is>
      </c>
      <c r="C7" s="117" t="inlineStr">
        <is>
          <t>/</t>
        </is>
      </c>
      <c r="D7" s="117" t="str"/>
      <c r="E7" s="117" t="inlineStr">
        <is>
          <t>/univers/diamond-painting-personnalise</t>
        </is>
      </c>
      <c r="F7" s="117" t="inlineStr">
        <is>
          <t>Cadeaux creatifs</t>
        </is>
      </c>
      <c r="G7" s="151" t="str"/>
      <c r="H7" s="155" t="str"/>
      <c r="I7" s="156" t="str"/>
      <c r="J7" s="117" t="inlineStr">
        <is>
          <t>Navigation</t>
        </is>
      </c>
      <c r="K7" s="117" t="str"/>
      <c r="L7" s="151" t="str"/>
      <c r="M7" s="117" t="inlineStr">
        <is>
          <t>Regroupe les collections sans cannibaliser les mots-cles exacts.</t>
        </is>
      </c>
      <c r="N7" s="117" t="inlineStr">
        <is>
          <t>Cadeaux creatifs</t>
        </is>
      </c>
      <c r="O7" s="117" t="inlineStr">
        <is>
          <t>Selection cadeaux creatifs pour orienter le visiteur vers les collections.</t>
        </is>
      </c>
      <c r="P7" s="117" t="inlineStr">
        <is>
          <t>Liens vers collections du meme pilier.</t>
        </is>
      </c>
      <c r="Q7" s="59" t="inlineStr">
        <is>
          <t>Menu principal</t>
        </is>
      </c>
    </row>
    <row r="8">
      <c r="A8" s="57" t="n">
        <v>2</v>
      </c>
      <c r="B8" s="117" t="inlineStr">
        <is>
          <t>Collection</t>
        </is>
      </c>
      <c r="C8" s="117" t="inlineStr">
        <is>
          <t>/univers/coloriages</t>
        </is>
      </c>
      <c r="D8" s="117" t="inlineStr">
        <is>
          <t>coloriage kawaii</t>
        </is>
      </c>
      <c r="E8" s="117" t="inlineStr">
        <is>
          <t>/collections/coloriage-kawaii</t>
        </is>
      </c>
      <c r="F8" s="117" t="inlineStr">
        <is>
          <t>Coloriage Kawaii</t>
        </is>
      </c>
      <c r="G8" s="151" t="n">
        <v>38000</v>
      </c>
      <c r="H8" s="155" t="n">
        <v>1</v>
      </c>
      <c r="I8" s="156" t="n">
        <v>0.06</v>
      </c>
      <c r="J8" s="117" t="inlineStr">
        <is>
          <t>Transactionnelle</t>
        </is>
      </c>
      <c r="K8" s="117" t="inlineStr">
        <is>
          <t>P1</t>
        </is>
      </c>
      <c r="L8" s="151" t="n">
        <v>45</v>
      </c>
      <c r="M8" s="117" t="inlineStr">
        <is>
          <t>Collection pilier SEO et commerciale</t>
        </is>
      </c>
      <c r="N8" s="117" t="inlineStr">
        <is>
          <t>coloriage kawaii | Kits et carnets kawaii</t>
        </is>
      </c>
      <c r="O8" s="117" t="inlineStr">
        <is>
          <t>Découvrez notre collection coloriage kawaii : carnets, kits et accessoires créatifs pour une boutique coloriage kawaii.</t>
        </is>
      </c>
      <c r="P8" s="117" t="inlineStr">
        <is>
          <t>Depuis accueil + menu + collections P2 liees</t>
        </is>
      </c>
      <c r="Q8" s="59" t="inlineStr">
        <is>
          <t>Livres, carnets, packs imprimés, bundles découverte. Page mère à mailler vers tous les thèmes kawaii.</t>
        </is>
      </c>
    </row>
    <row r="9">
      <c r="A9" s="57" t="n">
        <v>2</v>
      </c>
      <c r="B9" s="117" t="inlineStr">
        <is>
          <t>Collection</t>
        </is>
      </c>
      <c r="C9" s="117" t="inlineStr">
        <is>
          <t>/univers/coloriages</t>
        </is>
      </c>
      <c r="D9" s="117" t="inlineStr">
        <is>
          <t>coloriage adulte</t>
        </is>
      </c>
      <c r="E9" s="117" t="inlineStr">
        <is>
          <t>/collections/coloriage-adulte</t>
        </is>
      </c>
      <c r="F9" s="117" t="inlineStr">
        <is>
          <t>Coloriage Adulte</t>
        </is>
      </c>
      <c r="G9" s="151" t="n">
        <v>15000</v>
      </c>
      <c r="H9" s="155" t="n">
        <v>0</v>
      </c>
      <c r="I9" s="156" t="n">
        <v>0.1</v>
      </c>
      <c r="J9" s="117" t="inlineStr">
        <is>
          <t>Commerciale</t>
        </is>
      </c>
      <c r="K9" s="117" t="inlineStr">
        <is>
          <t>P1</t>
        </is>
      </c>
      <c r="L9" s="151" t="n">
        <v>35</v>
      </c>
      <c r="M9" s="117" t="inlineStr">
        <is>
          <t>Segment panier plus élevé</t>
        </is>
      </c>
      <c r="N9" s="117" t="inlineStr">
        <is>
          <t>coloriage adulte | Kits et carnets kawaii</t>
        </is>
      </c>
      <c r="O9" s="117" t="inlineStr">
        <is>
          <t>Découvrez notre collection coloriage adulte : carnets, kits et accessoires créatifs pour une boutique coloriage kawaii.</t>
        </is>
      </c>
      <c r="P9" s="117" t="inlineStr">
        <is>
          <t>Depuis accueil + menu + collections P2 liees</t>
        </is>
      </c>
      <c r="Q9" s="59" t="inlineStr">
        <is>
          <t>Cahiers anti-stress, mandalas kawaii, carnets premium papier épais, packs feutres + livre.</t>
        </is>
      </c>
    </row>
    <row r="10">
      <c r="A10" s="57" t="n">
        <v>2</v>
      </c>
      <c r="B10" s="117" t="inlineStr">
        <is>
          <t>Collection</t>
        </is>
      </c>
      <c r="C10" s="117" t="inlineStr">
        <is>
          <t>/univers/coloriages</t>
        </is>
      </c>
      <c r="D10" s="117" t="inlineStr">
        <is>
          <t>coloriage magique</t>
        </is>
      </c>
      <c r="E10" s="117" t="inlineStr">
        <is>
          <t>/collections/coloriage-magique</t>
        </is>
      </c>
      <c r="F10" s="117" t="inlineStr">
        <is>
          <t>Coloriage Magique</t>
        </is>
      </c>
      <c r="G10" s="151" t="n">
        <v>13000</v>
      </c>
      <c r="H10" s="155" t="n">
        <v>3</v>
      </c>
      <c r="I10" s="156" t="n">
        <v>0.08</v>
      </c>
      <c r="J10" s="117" t="inlineStr">
        <is>
          <t>Commerciale</t>
        </is>
      </c>
      <c r="K10" s="117" t="inlineStr">
        <is>
          <t>P1</t>
        </is>
      </c>
      <c r="L10" s="151" t="n">
        <v>30</v>
      </c>
      <c r="M10" s="117" t="inlineStr">
        <is>
          <t>Collection enfant/giftable</t>
        </is>
      </c>
      <c r="N10" s="117" t="inlineStr">
        <is>
          <t>coloriage magique | Kits et carnets kawaii</t>
        </is>
      </c>
      <c r="O10" s="117" t="inlineStr">
        <is>
          <t>Découvrez notre collection coloriage magique : carnets, kits et accessoires créatifs pour une boutique coloriage kawaii.</t>
        </is>
      </c>
      <c r="P10" s="117" t="inlineStr">
        <is>
          <t>Depuis accueil + menu + collections P2 liees</t>
        </is>
      </c>
      <c r="Q10" s="59" t="inlineStr">
        <is>
          <t>Livres à révélation, feutres magiques, cahiers effaçables, packs cadeaux anniversaire.</t>
        </is>
      </c>
    </row>
    <row r="11">
      <c r="A11" s="57" t="n">
        <v>2</v>
      </c>
      <c r="B11" s="117" t="inlineStr">
        <is>
          <t>Collection</t>
        </is>
      </c>
      <c r="C11" s="117" t="inlineStr">
        <is>
          <t>/univers/coloriages</t>
        </is>
      </c>
      <c r="D11" s="117" t="inlineStr">
        <is>
          <t>coloriage mystere</t>
        </is>
      </c>
      <c r="E11" s="117" t="inlineStr">
        <is>
          <t>/collections/coloriage-mystere</t>
        </is>
      </c>
      <c r="F11" s="117" t="inlineStr">
        <is>
          <t>Coloriage Mystere</t>
        </is>
      </c>
      <c r="G11" s="151" t="n">
        <v>12000</v>
      </c>
      <c r="H11" s="155" t="n">
        <v>0</v>
      </c>
      <c r="I11" s="156" t="n">
        <v>0.09</v>
      </c>
      <c r="J11" s="117" t="inlineStr">
        <is>
          <t>Transactionnelle</t>
        </is>
      </c>
      <c r="K11" s="117" t="inlineStr">
        <is>
          <t>P1</t>
        </is>
      </c>
      <c r="L11" s="151" t="n">
        <v>30</v>
      </c>
      <c r="M11" s="117" t="inlineStr">
        <is>
          <t>Angle découverte et retention</t>
        </is>
      </c>
      <c r="N11" s="117" t="inlineStr">
        <is>
          <t>coloriage mystere | Kits et carnets kawaii</t>
        </is>
      </c>
      <c r="O11" s="117" t="inlineStr">
        <is>
          <t>Découvrez notre collection coloriage mystere : carnets, kits et accessoires créatifs pour une boutique coloriage kawaii.</t>
        </is>
      </c>
      <c r="P11" s="117" t="inlineStr">
        <is>
          <t>Depuis accueil + menu + collections P2 liees</t>
        </is>
      </c>
      <c r="Q11" s="59" t="inlineStr">
        <is>
          <t>Coloriages mystères par numéros, pixels kawaii, animaux cachés, cartes surprises.</t>
        </is>
      </c>
    </row>
    <row r="12">
      <c r="A12" s="57" t="n">
        <v>2</v>
      </c>
      <c r="B12" s="117" t="inlineStr">
        <is>
          <t>Collection</t>
        </is>
      </c>
      <c r="C12" s="117" t="inlineStr">
        <is>
          <t>/univers/coloriages</t>
        </is>
      </c>
      <c r="D12" s="117" t="inlineStr">
        <is>
          <t>coloriage cosy</t>
        </is>
      </c>
      <c r="E12" s="117" t="inlineStr">
        <is>
          <t>/collections/coloriage-cosy</t>
        </is>
      </c>
      <c r="F12" s="117" t="inlineStr">
        <is>
          <t>Coloriage Cosy</t>
        </is>
      </c>
      <c r="G12" s="151" t="n">
        <v>9200</v>
      </c>
      <c r="H12" s="155" t="n">
        <v>0</v>
      </c>
      <c r="I12" s="156" t="n">
        <v>0.11</v>
      </c>
      <c r="J12" s="117" t="inlineStr">
        <is>
          <t>Commerciale</t>
        </is>
      </c>
      <c r="K12" s="117" t="inlineStr">
        <is>
          <t>P1</t>
        </is>
      </c>
      <c r="L12" s="151" t="n">
        <v>30</v>
      </c>
      <c r="M12" s="117" t="inlineStr">
        <is>
          <t>Positionnement marque cosy</t>
        </is>
      </c>
      <c r="N12" s="117" t="inlineStr">
        <is>
          <t>coloriage cosy | Kits et carnets kawaii</t>
        </is>
      </c>
      <c r="O12" s="117" t="inlineStr">
        <is>
          <t>Découvrez notre collection coloriage cosy : carnets, kits et accessoires créatifs pour une boutique coloriage kawaii.</t>
        </is>
      </c>
      <c r="P12" s="117" t="inlineStr">
        <is>
          <t>Depuis accueil + menu + collections P2 liees</t>
        </is>
      </c>
      <c r="Q12" s="59" t="inlineStr">
        <is>
          <t>Univers cocooning : chats, thé, maison, automne, journaling, packs relaxation.</t>
        </is>
      </c>
    </row>
    <row r="13">
      <c r="A13" s="57" t="n">
        <v>2</v>
      </c>
      <c r="B13" s="117" t="inlineStr">
        <is>
          <t>Collection</t>
        </is>
      </c>
      <c r="C13" s="117" t="inlineStr">
        <is>
          <t>/univers/coloriages</t>
        </is>
      </c>
      <c r="D13" s="117" t="inlineStr">
        <is>
          <t>coloriage manga</t>
        </is>
      </c>
      <c r="E13" s="117" t="inlineStr">
        <is>
          <t>/collections/coloriage-manga</t>
        </is>
      </c>
      <c r="F13" s="117" t="inlineStr">
        <is>
          <t>Coloriage Manga</t>
        </is>
      </c>
      <c r="G13" s="151" t="n">
        <v>7000</v>
      </c>
      <c r="H13" s="155" t="n">
        <v>0</v>
      </c>
      <c r="I13" s="156" t="n">
        <v>0.07000000000000001</v>
      </c>
      <c r="J13" s="117" t="inlineStr">
        <is>
          <t>Commerciale</t>
        </is>
      </c>
      <c r="K13" s="117" t="inlineStr">
        <is>
          <t>P2</t>
        </is>
      </c>
      <c r="L13" s="151" t="n">
        <v>25</v>
      </c>
      <c r="M13" s="117" t="inlineStr">
        <is>
          <t>Trafic passion mais IP-safe</t>
        </is>
      </c>
      <c r="N13" s="117" t="inlineStr">
        <is>
          <t>coloriage manga | Kits et carnets kawaii</t>
        </is>
      </c>
      <c r="O13" s="117" t="inlineStr">
        <is>
          <t>Découvrez notre collection coloriage manga : carnets, kits et accessoires créatifs pour une boutique coloriage kawaii.</t>
        </is>
      </c>
      <c r="P13" s="117" t="inlineStr">
        <is>
          <t>Depuis page pilier + recommandations produits</t>
        </is>
      </c>
      <c r="Q13" s="59" t="inlineStr">
        <is>
          <t>Personnages originaux manga/chibi, expressions, tenues, cahiers apprentissage dessin.</t>
        </is>
      </c>
    </row>
    <row r="14">
      <c r="A14" s="57" t="n">
        <v>2</v>
      </c>
      <c r="B14" s="117" t="inlineStr">
        <is>
          <t>Collection</t>
        </is>
      </c>
      <c r="C14" s="117" t="inlineStr">
        <is>
          <t>/univers/coloriages</t>
        </is>
      </c>
      <c r="D14" s="117" t="inlineStr">
        <is>
          <t>coloriage foot</t>
        </is>
      </c>
      <c r="E14" s="117" t="inlineStr">
        <is>
          <t>/collections/coloriage-foot</t>
        </is>
      </c>
      <c r="F14" s="117" t="inlineStr">
        <is>
          <t>Coloriage Foot</t>
        </is>
      </c>
      <c r="G14" s="151" t="n">
        <v>6600</v>
      </c>
      <c r="H14" s="155" t="n">
        <v>0</v>
      </c>
      <c r="I14" s="156" t="n">
        <v>0.06</v>
      </c>
      <c r="J14" s="117" t="inlineStr">
        <is>
          <t>Commerciale</t>
        </is>
      </c>
      <c r="K14" s="117" t="inlineStr">
        <is>
          <t>P2</t>
        </is>
      </c>
      <c r="L14" s="151" t="n">
        <v>25</v>
      </c>
      <c r="M14" s="117" t="inlineStr">
        <is>
          <t>Collection cadeau enfant</t>
        </is>
      </c>
      <c r="N14" s="117" t="inlineStr">
        <is>
          <t>coloriage foot | Kits et carnets kawaii</t>
        </is>
      </c>
      <c r="O14" s="117" t="inlineStr">
        <is>
          <t>Découvrez notre collection coloriage foot : carnets, kits et accessoires créatifs pour une boutique coloriage kawaii.</t>
        </is>
      </c>
      <c r="P14" s="117" t="inlineStr">
        <is>
          <t>Depuis page pilier + recommandations produits</t>
        </is>
      </c>
      <c r="Q14" s="59" t="inlineStr">
        <is>
          <t>Coloriages football génériques, maillots non licenciés, trophées, ballons, activités anniversaire.</t>
        </is>
      </c>
    </row>
    <row r="15">
      <c r="A15" s="57" t="n">
        <v>2</v>
      </c>
      <c r="B15" s="117" t="inlineStr">
        <is>
          <t>Collection</t>
        </is>
      </c>
      <c r="C15" s="117" t="inlineStr">
        <is>
          <t>/univers/coloriages</t>
        </is>
      </c>
      <c r="D15" s="117" t="inlineStr">
        <is>
          <t>coloriage fille</t>
        </is>
      </c>
      <c r="E15" s="117" t="inlineStr">
        <is>
          <t>/collections/coloriage-fille</t>
        </is>
      </c>
      <c r="F15" s="117" t="inlineStr">
        <is>
          <t>Coloriage Fille</t>
        </is>
      </c>
      <c r="G15" s="151" t="n">
        <v>6600</v>
      </c>
      <c r="H15" s="155" t="n">
        <v>0</v>
      </c>
      <c r="I15" s="156" t="str"/>
      <c r="J15" s="117" t="inlineStr">
        <is>
          <t>Commerciale</t>
        </is>
      </c>
      <c r="K15" s="117" t="inlineStr">
        <is>
          <t>P2</t>
        </is>
      </c>
      <c r="L15" s="151" t="n">
        <v>25</v>
      </c>
      <c r="M15" s="117" t="inlineStr">
        <is>
          <t>Requête large enfant</t>
        </is>
      </c>
      <c r="N15" s="117" t="inlineStr">
        <is>
          <t>coloriage fille | Kits et carnets kawaii</t>
        </is>
      </c>
      <c r="O15" s="117" t="inlineStr">
        <is>
          <t>Découvrez notre collection coloriage fille : carnets, kits et accessoires créatifs pour une boutique coloriage kawaii.</t>
        </is>
      </c>
      <c r="P15" s="117" t="inlineStr">
        <is>
          <t>Depuis page pilier + recommandations produits</t>
        </is>
      </c>
      <c r="Q15" s="59" t="inlineStr">
        <is>
          <t>Licornes, animaux mignons, sirènes, mode, stickers. Attention à garder un wording inclusif en site.</t>
        </is>
      </c>
    </row>
    <row r="16">
      <c r="A16" s="57" t="n">
        <v>2</v>
      </c>
      <c r="B16" s="117" t="inlineStr">
        <is>
          <t>Collection</t>
        </is>
      </c>
      <c r="C16" s="117" t="inlineStr">
        <is>
          <t>/univers/coloriages</t>
        </is>
      </c>
      <c r="D16" s="117" t="inlineStr">
        <is>
          <t>coloriage kawaii fille</t>
        </is>
      </c>
      <c r="E16" s="117" t="inlineStr">
        <is>
          <t>/collections/coloriage-kawaii-fille</t>
        </is>
      </c>
      <c r="F16" s="117" t="inlineStr">
        <is>
          <t>Coloriage Kawaii Fille</t>
        </is>
      </c>
      <c r="G16" s="151" t="n">
        <v>4800</v>
      </c>
      <c r="H16" s="155" t="n">
        <v>1</v>
      </c>
      <c r="I16" s="156" t="str"/>
      <c r="J16" s="117" t="inlineStr">
        <is>
          <t>Transactionnelle</t>
        </is>
      </c>
      <c r="K16" s="117" t="inlineStr">
        <is>
          <t>P2</t>
        </is>
      </c>
      <c r="L16" s="151" t="n">
        <v>25</v>
      </c>
      <c r="M16" s="117" t="inlineStr">
        <is>
          <t>Longue traîne transactionnelle</t>
        </is>
      </c>
      <c r="N16" s="117" t="inlineStr">
        <is>
          <t>coloriage kawaii fille | Kits et carnets kawaii</t>
        </is>
      </c>
      <c r="O16" s="117" t="inlineStr">
        <is>
          <t>Découvrez notre collection coloriage kawaii fille : carnets, kits et accessoires créatifs pour une boutique coloriage kawaii.</t>
        </is>
      </c>
      <c r="P16" s="117" t="inlineStr">
        <is>
          <t>Depuis page pilier + recommandations produits</t>
        </is>
      </c>
      <c r="Q16" s="59" t="inlineStr">
        <is>
          <t>Déclinaison plus ciblée de la page pilier, à mailler depuis coloriage kawaii et coloriage fille.</t>
        </is>
      </c>
    </row>
    <row r="17">
      <c r="A17" s="57" t="n">
        <v>2</v>
      </c>
      <c r="B17" s="117" t="inlineStr">
        <is>
          <t>Collection</t>
        </is>
      </c>
      <c r="C17" s="117" t="inlineStr">
        <is>
          <t>/univers/themes-kawaii</t>
        </is>
      </c>
      <c r="D17" s="117" t="inlineStr">
        <is>
          <t>chat kawaii</t>
        </is>
      </c>
      <c r="E17" s="117" t="inlineStr">
        <is>
          <t>/collections/chat-kawaii</t>
        </is>
      </c>
      <c r="F17" s="117" t="inlineStr">
        <is>
          <t>Chat Kawaii</t>
        </is>
      </c>
      <c r="G17" s="151" t="n">
        <v>4200</v>
      </c>
      <c r="H17" s="155" t="n">
        <v>0</v>
      </c>
      <c r="I17" s="156" t="n">
        <v>0.06</v>
      </c>
      <c r="J17" s="117" t="inlineStr">
        <is>
          <t>Commerciale</t>
        </is>
      </c>
      <c r="K17" s="117" t="inlineStr">
        <is>
          <t>P2</t>
        </is>
      </c>
      <c r="L17" s="151" t="n">
        <v>20</v>
      </c>
      <c r="M17" s="117" t="inlineStr">
        <is>
          <t>Thème très brandable</t>
        </is>
      </c>
      <c r="N17" s="117" t="inlineStr">
        <is>
          <t>chat kawaii | Kits et carnets kawaii</t>
        </is>
      </c>
      <c r="O17" s="117" t="inlineStr">
        <is>
          <t>Découvrez notre collection chat kawaii : carnets, kits et accessoires créatifs pour une boutique coloriage kawaii.</t>
        </is>
      </c>
      <c r="P17" s="117" t="inlineStr">
        <is>
          <t>Depuis page pilier + recommandations produits</t>
        </is>
      </c>
      <c r="Q17" s="59" t="inlineStr">
        <is>
          <t>Collection de livres, stickers, marque-pages et mini kits autour du chat kawaii.</t>
        </is>
      </c>
    </row>
    <row r="18">
      <c r="A18" s="57" t="n">
        <v>2</v>
      </c>
      <c r="B18" s="117" t="inlineStr">
        <is>
          <t>Collection</t>
        </is>
      </c>
      <c r="C18" s="117" t="inlineStr">
        <is>
          <t>/univers/accessoires</t>
        </is>
      </c>
      <c r="D18" s="117" t="inlineStr">
        <is>
          <t>feutre acrylique</t>
        </is>
      </c>
      <c r="E18" s="117" t="inlineStr">
        <is>
          <t>/collections/feutre-acrylique</t>
        </is>
      </c>
      <c r="F18" s="117" t="inlineStr">
        <is>
          <t>Feutre Acrylique</t>
        </is>
      </c>
      <c r="G18" s="151" t="n">
        <v>33000</v>
      </c>
      <c r="H18" s="155" t="n">
        <v>0</v>
      </c>
      <c r="I18" s="156" t="n">
        <v>0.16</v>
      </c>
      <c r="J18" s="117" t="inlineStr">
        <is>
          <t>Transactionnelle</t>
        </is>
      </c>
      <c r="K18" s="117" t="inlineStr">
        <is>
          <t>P1</t>
        </is>
      </c>
      <c r="L18" s="151" t="n">
        <v>40</v>
      </c>
      <c r="M18" s="117" t="inlineStr">
        <is>
          <t>Monétisation accessoire forte</t>
        </is>
      </c>
      <c r="N18" s="117" t="inlineStr">
        <is>
          <t>feutre acrylique | Kits et carnets kawaii</t>
        </is>
      </c>
      <c r="O18" s="117" t="inlineStr">
        <is>
          <t>Découvrez notre collection feutre acrylique : carnets, kits et accessoires créatifs pour une boutique coloriage kawaii.</t>
        </is>
      </c>
      <c r="P18" s="117" t="inlineStr">
        <is>
          <t>Depuis accueil + menu + collections P2 liees</t>
        </is>
      </c>
      <c r="Q18" s="59" t="inlineStr">
        <is>
          <t>Sets de feutres, pointes fines, packs couleurs pastel, bundle avec cahiers papier épais.</t>
        </is>
      </c>
    </row>
    <row r="19">
      <c r="A19" s="57" t="n">
        <v>2</v>
      </c>
      <c r="B19" s="117" t="inlineStr">
        <is>
          <t>Collection</t>
        </is>
      </c>
      <c r="C19" s="117" t="inlineStr">
        <is>
          <t>/univers/accessoires</t>
        </is>
      </c>
      <c r="D19" s="117" t="inlineStr">
        <is>
          <t>feutre a alcool</t>
        </is>
      </c>
      <c r="E19" s="117" t="inlineStr">
        <is>
          <t>/collections/feutre-a-alcool</t>
        </is>
      </c>
      <c r="F19" s="117" t="inlineStr">
        <is>
          <t>Feutre A Alcool</t>
        </is>
      </c>
      <c r="G19" s="151" t="n">
        <v>5400</v>
      </c>
      <c r="H19" s="155" t="n">
        <v>0</v>
      </c>
      <c r="I19" s="156" t="n">
        <v>0.21</v>
      </c>
      <c r="J19" s="117" t="inlineStr">
        <is>
          <t>Transactionnelle</t>
        </is>
      </c>
      <c r="K19" s="117" t="inlineStr">
        <is>
          <t>P2</t>
        </is>
      </c>
      <c r="L19" s="151" t="n">
        <v>30</v>
      </c>
      <c r="M19" s="117" t="inlineStr">
        <is>
          <t>Panier moyen et upsell</t>
        </is>
      </c>
      <c r="N19" s="117" t="inlineStr">
        <is>
          <t>feutre a alcool | Kits et carnets kawaii</t>
        </is>
      </c>
      <c r="O19" s="117" t="inlineStr">
        <is>
          <t>Découvrez notre collection feutre a alcool : carnets, kits et accessoires créatifs pour une boutique coloriage kawaii.</t>
        </is>
      </c>
      <c r="P19" s="117" t="inlineStr">
        <is>
          <t>Depuis page pilier + recommandations produits</t>
        </is>
      </c>
      <c r="Q19" s="59" t="inlineStr">
        <is>
          <t>Sets alcohol markers, nuanciers, pochettes rangement, packs débutant et premium.</t>
        </is>
      </c>
    </row>
    <row r="20">
      <c r="A20" s="57" t="n">
        <v>2</v>
      </c>
      <c r="B20" s="117" t="inlineStr">
        <is>
          <t>Collection</t>
        </is>
      </c>
      <c r="C20" s="117" t="inlineStr">
        <is>
          <t>/univers/accessoires</t>
        </is>
      </c>
      <c r="D20" s="117" t="inlineStr">
        <is>
          <t>trousse kawaii</t>
        </is>
      </c>
      <c r="E20" s="117" t="inlineStr">
        <is>
          <t>/collections/trousse-kawaii</t>
        </is>
      </c>
      <c r="F20" s="117" t="inlineStr">
        <is>
          <t>Trousse Kawaii</t>
        </is>
      </c>
      <c r="G20" s="151" t="n">
        <v>3800</v>
      </c>
      <c r="H20" s="155" t="n">
        <v>0</v>
      </c>
      <c r="I20" s="156" t="n">
        <v>0.14</v>
      </c>
      <c r="J20" s="117" t="inlineStr">
        <is>
          <t>Transactionnelle</t>
        </is>
      </c>
      <c r="K20" s="117" t="inlineStr">
        <is>
          <t>P2</t>
        </is>
      </c>
      <c r="L20" s="151" t="n">
        <v>20</v>
      </c>
      <c r="M20" s="117" t="inlineStr">
        <is>
          <t>Produit léger et cadeau</t>
        </is>
      </c>
      <c r="N20" s="117" t="inlineStr">
        <is>
          <t>trousse kawaii | Kits et carnets kawaii</t>
        </is>
      </c>
      <c r="O20" s="117" t="inlineStr">
        <is>
          <t>Découvrez notre collection trousse kawaii : carnets, kits et accessoires créatifs pour une boutique coloriage kawaii.</t>
        </is>
      </c>
      <c r="P20" s="117" t="inlineStr">
        <is>
          <t>Depuis page pilier + recommandations produits</t>
        </is>
      </c>
      <c r="Q20" s="59" t="inlineStr">
        <is>
          <t>Trousses mignonnes, pochettes feutres, rangement coloriage, lots rentrée.</t>
        </is>
      </c>
    </row>
    <row r="21">
      <c r="A21" s="57" t="n">
        <v>2</v>
      </c>
      <c r="B21" s="117" t="inlineStr">
        <is>
          <t>Collection</t>
        </is>
      </c>
      <c r="C21" s="117" t="inlineStr">
        <is>
          <t>/univers/cadeaux-creatifs</t>
        </is>
      </c>
      <c r="D21" s="117" t="inlineStr">
        <is>
          <t>marque page personnalisé</t>
        </is>
      </c>
      <c r="E21" s="117" t="inlineStr">
        <is>
          <t>/collections/marque-page-personnalise</t>
        </is>
      </c>
      <c r="F21" s="117" t="inlineStr">
        <is>
          <t>Marque Page Personnalisé</t>
        </is>
      </c>
      <c r="G21" s="151" t="n">
        <v>3700</v>
      </c>
      <c r="H21" s="155" t="n">
        <v>1</v>
      </c>
      <c r="I21" s="156" t="n">
        <v>0.42</v>
      </c>
      <c r="J21" s="117" t="inlineStr">
        <is>
          <t>Transactionnelle</t>
        </is>
      </c>
      <c r="K21" s="117" t="inlineStr">
        <is>
          <t>P2</t>
        </is>
      </c>
      <c r="L21" s="151" t="n">
        <v>20</v>
      </c>
      <c r="M21" s="117" t="inlineStr">
        <is>
          <t>AOV par personnalisation</t>
        </is>
      </c>
      <c r="N21" s="117" t="inlineStr">
        <is>
          <t>marque page personnalisé | Kits et carnets kawaii</t>
        </is>
      </c>
      <c r="O21" s="117" t="inlineStr">
        <is>
          <t>Découvrez notre collection marque page personnalisé : carnets, kits et accessoires créatifs pour une boutique coloriage kawaii.</t>
        </is>
      </c>
      <c r="P21" s="117" t="inlineStr">
        <is>
          <t>Depuis page pilier + recommandations produits</t>
        </is>
      </c>
      <c r="Q21" s="59" t="inlineStr">
        <is>
          <t>Marque-pages prénom, chats, fleurs, citations, lots de 3 et bundle cahier.</t>
        </is>
      </c>
    </row>
    <row r="22">
      <c r="A22" s="57" t="n">
        <v>2</v>
      </c>
      <c r="B22" s="117" t="inlineStr">
        <is>
          <t>Collection</t>
        </is>
      </c>
      <c r="C22" s="117" t="inlineStr">
        <is>
          <t>/univers/cadeaux-creatifs</t>
        </is>
      </c>
      <c r="D22" s="117" t="inlineStr">
        <is>
          <t>diamond painting personnalisé</t>
        </is>
      </c>
      <c r="E22" s="117" t="inlineStr">
        <is>
          <t>/collections/diamond-painting-personnalise</t>
        </is>
      </c>
      <c r="F22" s="117" t="inlineStr">
        <is>
          <t>Diamond Painting Personnalisé</t>
        </is>
      </c>
      <c r="G22" s="151" t="n">
        <v>6000</v>
      </c>
      <c r="H22" s="155" t="n">
        <v>2</v>
      </c>
      <c r="I22" s="156" t="n">
        <v>0.71</v>
      </c>
      <c r="J22" s="117" t="inlineStr">
        <is>
          <t>Transactionnelle</t>
        </is>
      </c>
      <c r="K22" s="117" t="inlineStr">
        <is>
          <t>P2</t>
        </is>
      </c>
      <c r="L22" s="151" t="n">
        <v>30</v>
      </c>
      <c r="M22" s="117" t="inlineStr">
        <is>
          <t>Produit cadeau à marge</t>
        </is>
      </c>
      <c r="N22" s="117" t="inlineStr">
        <is>
          <t>diamond painting personnalisé | Kits et carnets kawaii</t>
        </is>
      </c>
      <c r="O22" s="117" t="inlineStr">
        <is>
          <t>Découvrez notre collection diamond painting personnalisé : carnets, kits et accessoires créatifs pour une boutique coloriage kawaii.</t>
        </is>
      </c>
      <c r="P22" s="117" t="inlineStr">
        <is>
          <t>Depuis page pilier + recommandations produits</t>
        </is>
      </c>
      <c r="Q22" s="59" t="inlineStr">
        <is>
          <t>Kits personnalisés, formats petits faciles à expédier, modèles animaux kawaii.</t>
        </is>
      </c>
    </row>
    <row r="23">
      <c r="A23" s="57" t="n">
        <v>1</v>
      </c>
      <c r="B23" s="117" t="inlineStr">
        <is>
          <t>Blog SEO</t>
        </is>
      </c>
      <c r="C23" s="117" t="inlineStr">
        <is>
          <t>/</t>
        </is>
      </c>
      <c r="D23" s="117" t="str"/>
      <c r="E23" s="117" t="inlineStr">
        <is>
          <t>/blogs/guides</t>
        </is>
      </c>
      <c r="F23" s="117" t="inlineStr">
        <is>
          <t>Guides coloriage kawaii</t>
        </is>
      </c>
      <c r="G23" s="151" t="str"/>
      <c r="H23" s="155" t="str"/>
      <c r="I23" s="156" t="str"/>
      <c r="J23" s="117" t="inlineStr">
        <is>
          <t>Informationnelle</t>
        </is>
      </c>
      <c r="K23" s="117" t="inlineStr">
        <is>
          <t>P3</t>
        </is>
      </c>
      <c r="L23" s="151" t="str"/>
      <c r="M23" s="117" t="inlineStr">
        <is>
          <t>Alimenter les collections, pas remplacer les pages transactionnelles.</t>
        </is>
      </c>
      <c r="N23" s="117" t="inlineStr">
        <is>
          <t>Guides coloriage kawaii</t>
        </is>
      </c>
      <c r="O23" s="117" t="inlineStr">
        <is>
          <t>Idees, conseils feutres et inspirations pour mieux colorier.</t>
        </is>
      </c>
      <c r="P23" s="117" t="inlineStr">
        <is>
          <t>Chaque article doit pointer vers une collection.</t>
        </is>
      </c>
      <c r="Q23" s="59" t="inlineStr">
        <is>
          <t>Exemples : comment choisir ses feutres, coloriage kawaii adulte, idees cadeaux.</t>
        </is>
      </c>
    </row>
    <row r="24">
      <c r="A24" s="60" t="n">
        <v>1</v>
      </c>
      <c r="B24" s="118" t="inlineStr">
        <is>
          <t>Pages confiance</t>
        </is>
      </c>
      <c r="C24" s="118" t="inlineStr">
        <is>
          <t>/</t>
        </is>
      </c>
      <c r="D24" s="118" t="str"/>
      <c r="E24" s="118" t="inlineStr">
        <is>
          <t>/pages/livraison-retours</t>
        </is>
      </c>
      <c r="F24" s="118" t="inlineStr">
        <is>
          <t>Livraison et retours</t>
        </is>
      </c>
      <c r="G24" s="152" t="str"/>
      <c r="H24" s="157" t="str"/>
      <c r="I24" s="158" t="str"/>
      <c r="J24" s="118" t="inlineStr">
        <is>
          <t>Rassurance</t>
        </is>
      </c>
      <c r="K24" s="118" t="inlineStr">
        <is>
          <t>P2</t>
        </is>
      </c>
      <c r="L24" s="152" t="str"/>
      <c r="M24" s="118" t="inlineStr">
        <is>
          <t>Limiter la friction avant achat.</t>
        </is>
      </c>
      <c r="N24" s="118" t="inlineStr">
        <is>
          <t>Livraison et retours</t>
        </is>
      </c>
      <c r="O24" s="118" t="inlineStr">
        <is>
          <t>Delais, suivi et retours pour les kits coloriage kawaii.</t>
        </is>
      </c>
      <c r="P24" s="118" t="inlineStr">
        <is>
          <t>Footer + checkout.</t>
        </is>
      </c>
      <c r="Q24" s="62" t="inlineStr">
        <is>
          <t>Essentiel pour dropshipping : clarifier delais et suivi.</t>
        </is>
      </c>
    </row>
  </sheetData>
  <mergeCells count="1">
    <mergeCell ref="A1:Q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18"/>
  <sheetViews>
    <sheetView showGridLines="0" workbookViewId="0">
      <selection activeCell="A1" sqref="A1"/>
    </sheetView>
  </sheetViews>
  <sheetFormatPr baseColWidth="8" defaultRowHeight="15"/>
  <cols>
    <col width="8" customWidth="1" style="111" min="1" max="1"/>
    <col width="18" customWidth="1" style="111" min="2" max="2"/>
    <col width="28" customWidth="1" style="111" min="3" max="3"/>
    <col width="10" customWidth="1" style="111" min="4" max="4"/>
    <col width="34" customWidth="1" style="111" min="5" max="5"/>
    <col width="12" customWidth="1" style="111" min="6" max="6"/>
    <col width="12" customWidth="1" style="111" min="7" max="7"/>
    <col width="12" customWidth="1" style="111" min="8" max="8"/>
    <col width="12" customWidth="1" style="111" min="9" max="9"/>
    <col width="12" customWidth="1" style="111" min="10" max="10"/>
    <col width="12" customWidth="1" style="111" min="11" max="11"/>
    <col width="12" customWidth="1" style="111" min="12" max="12"/>
    <col width="12" customWidth="1" style="111" min="13" max="13"/>
    <col width="28" customWidth="1" style="111" min="14" max="14"/>
    <col width="56" customWidth="1" style="111" min="15" max="15"/>
    <col width="26" customWidth="1" style="111" min="16" max="16"/>
  </cols>
  <sheetData>
    <row r="1" ht="34" customHeight="1" s="111">
      <c r="A1" s="133" t="inlineStr">
        <is>
          <t>Collections SEO - 1 collection = 1 mot-cle</t>
        </is>
      </c>
    </row>
    <row r="2">
      <c r="A2" s="117" t="n"/>
      <c r="B2" s="117" t="n"/>
      <c r="C2" s="117" t="n"/>
      <c r="D2" s="117" t="n"/>
      <c r="E2" s="117" t="n"/>
      <c r="F2" s="117" t="n"/>
      <c r="G2" s="117" t="n"/>
      <c r="H2" s="117" t="n"/>
      <c r="I2" s="117" t="n"/>
      <c r="J2" s="117" t="n"/>
      <c r="K2" s="117" t="n"/>
      <c r="L2" s="117" t="n"/>
      <c r="M2" s="117" t="n"/>
      <c r="N2" s="117" t="n"/>
      <c r="O2" s="117" t="n"/>
      <c r="P2" s="117" t="n"/>
    </row>
    <row r="3">
      <c r="A3" s="135" t="inlineStr">
        <is>
          <t>Ordre</t>
        </is>
      </c>
      <c r="B3" s="136" t="inlineStr">
        <is>
          <t>Pilier</t>
        </is>
      </c>
      <c r="C3" s="136" t="inlineStr">
        <is>
          <t>Collection = mot-cle</t>
        </is>
      </c>
      <c r="D3" s="136" t="inlineStr">
        <is>
          <t>Active</t>
        </is>
      </c>
      <c r="E3" s="136" t="inlineStr">
        <is>
          <t>URL</t>
        </is>
      </c>
      <c r="F3" s="136" t="inlineStr">
        <is>
          <t>Volume FR</t>
        </is>
      </c>
      <c r="G3" s="136" t="inlineStr">
        <is>
          <t>KD</t>
        </is>
      </c>
      <c r="H3" s="136" t="inlineStr">
        <is>
          <t>CPC</t>
        </is>
      </c>
      <c r="I3" s="136" t="inlineStr">
        <is>
          <t>Intention</t>
        </is>
      </c>
      <c r="J3" s="136" t="inlineStr">
        <is>
          <t>Priorite</t>
        </is>
      </c>
      <c r="K3" s="136" t="inlineStr">
        <is>
          <t>SKU cible</t>
        </is>
      </c>
      <c r="L3" s="136" t="inlineStr">
        <is>
          <t>Prix moyen cible</t>
        </is>
      </c>
      <c r="M3" s="136" t="inlineStr">
        <is>
          <t>Score SEO</t>
        </is>
      </c>
      <c r="N3" s="136" t="inlineStr">
        <is>
          <t>Role commercial</t>
        </is>
      </c>
      <c r="O3" s="136" t="inlineStr">
        <is>
          <t>Brief collection</t>
        </is>
      </c>
      <c r="P3" s="137" t="inlineStr">
        <is>
          <t>Source CSV keyword</t>
        </is>
      </c>
    </row>
    <row r="4">
      <c r="A4" s="54" t="n">
        <v>1</v>
      </c>
      <c r="B4" s="116" t="inlineStr">
        <is>
          <t>Coloriages</t>
        </is>
      </c>
      <c r="C4" s="116" t="inlineStr">
        <is>
          <t>coloriage kawaii</t>
        </is>
      </c>
      <c r="D4" s="116" t="inlineStr">
        <is>
          <t>Oui</t>
        </is>
      </c>
      <c r="E4" s="116" t="inlineStr">
        <is>
          <t>/collections/coloriage-kawaii</t>
        </is>
      </c>
      <c r="F4" s="150" t="n">
        <v>38000</v>
      </c>
      <c r="G4" s="153" t="n">
        <v>1</v>
      </c>
      <c r="H4" s="154" t="n">
        <v>0.06</v>
      </c>
      <c r="I4" s="116" t="inlineStr">
        <is>
          <t>Transactionnelle</t>
        </is>
      </c>
      <c r="J4" s="116" t="inlineStr">
        <is>
          <t>P1</t>
        </is>
      </c>
      <c r="K4" s="150" t="n">
        <v>45</v>
      </c>
      <c r="L4" s="154" t="n">
        <v>24.9</v>
      </c>
      <c r="M4" s="150">
        <f>ROUND((F4/(G4+1))*IF(J4="P1",1.2,IF(J4="P2",1,0.8)),0)</f>
        <v/>
      </c>
      <c r="N4" s="116" t="inlineStr">
        <is>
          <t>Collection pilier SEO et commerciale</t>
        </is>
      </c>
      <c r="O4" s="116" t="inlineStr">
        <is>
          <t>Livres, carnets, packs imprimés, bundles découverte. Page mère à mailler vers tous les thèmes kawaii.</t>
        </is>
      </c>
      <c r="P4" s="56" t="inlineStr">
        <is>
          <t>coloriage kawaii</t>
        </is>
      </c>
    </row>
    <row r="5">
      <c r="A5" s="57" t="n">
        <v>2</v>
      </c>
      <c r="B5" s="117" t="inlineStr">
        <is>
          <t>Coloriages</t>
        </is>
      </c>
      <c r="C5" s="117" t="inlineStr">
        <is>
          <t>coloriage adulte</t>
        </is>
      </c>
      <c r="D5" s="117" t="inlineStr">
        <is>
          <t>Oui</t>
        </is>
      </c>
      <c r="E5" s="117" t="inlineStr">
        <is>
          <t>/collections/coloriage-adulte</t>
        </is>
      </c>
      <c r="F5" s="151" t="n">
        <v>15000</v>
      </c>
      <c r="G5" s="155" t="n">
        <v>0</v>
      </c>
      <c r="H5" s="156" t="n">
        <v>0.1</v>
      </c>
      <c r="I5" s="117" t="inlineStr">
        <is>
          <t>Commerciale</t>
        </is>
      </c>
      <c r="J5" s="117" t="inlineStr">
        <is>
          <t>P1</t>
        </is>
      </c>
      <c r="K5" s="151" t="n">
        <v>35</v>
      </c>
      <c r="L5" s="156" t="n">
        <v>29.9</v>
      </c>
      <c r="M5" s="151">
        <f>ROUND((F5/(G5+1))*IF(J5="P1",1.2,IF(J5="P2",1,0.8)),0)</f>
        <v/>
      </c>
      <c r="N5" s="117" t="inlineStr">
        <is>
          <t>Segment panier plus élevé</t>
        </is>
      </c>
      <c r="O5" s="117" t="inlineStr">
        <is>
          <t>Cahiers anti-stress, mandalas kawaii, carnets premium papier épais, packs feutres + livre.</t>
        </is>
      </c>
      <c r="P5" s="59" t="inlineStr">
        <is>
          <t>coloriage adulte</t>
        </is>
      </c>
    </row>
    <row r="6">
      <c r="A6" s="57" t="n">
        <v>3</v>
      </c>
      <c r="B6" s="117" t="inlineStr">
        <is>
          <t>Coloriages</t>
        </is>
      </c>
      <c r="C6" s="117" t="inlineStr">
        <is>
          <t>coloriage magique</t>
        </is>
      </c>
      <c r="D6" s="117" t="inlineStr">
        <is>
          <t>Oui</t>
        </is>
      </c>
      <c r="E6" s="117" t="inlineStr">
        <is>
          <t>/collections/coloriage-magique</t>
        </is>
      </c>
      <c r="F6" s="151" t="n">
        <v>13000</v>
      </c>
      <c r="G6" s="155" t="n">
        <v>3</v>
      </c>
      <c r="H6" s="156" t="n">
        <v>0.08</v>
      </c>
      <c r="I6" s="117" t="inlineStr">
        <is>
          <t>Commerciale</t>
        </is>
      </c>
      <c r="J6" s="117" t="inlineStr">
        <is>
          <t>P1</t>
        </is>
      </c>
      <c r="K6" s="151" t="n">
        <v>30</v>
      </c>
      <c r="L6" s="156" t="n">
        <v>22.9</v>
      </c>
      <c r="M6" s="151">
        <f>ROUND((F6/(G6+1))*IF(J6="P1",1.2,IF(J6="P2",1,0.8)),0)</f>
        <v/>
      </c>
      <c r="N6" s="117" t="inlineStr">
        <is>
          <t>Collection enfant/giftable</t>
        </is>
      </c>
      <c r="O6" s="117" t="inlineStr">
        <is>
          <t>Livres à révélation, feutres magiques, cahiers effaçables, packs cadeaux anniversaire.</t>
        </is>
      </c>
      <c r="P6" s="59" t="inlineStr">
        <is>
          <t>coloriage magique</t>
        </is>
      </c>
    </row>
    <row r="7">
      <c r="A7" s="57" t="n">
        <v>4</v>
      </c>
      <c r="B7" s="117" t="inlineStr">
        <is>
          <t>Coloriages</t>
        </is>
      </c>
      <c r="C7" s="117" t="inlineStr">
        <is>
          <t>coloriage mystere</t>
        </is>
      </c>
      <c r="D7" s="117" t="inlineStr">
        <is>
          <t>Oui</t>
        </is>
      </c>
      <c r="E7" s="117" t="inlineStr">
        <is>
          <t>/collections/coloriage-mystere</t>
        </is>
      </c>
      <c r="F7" s="151" t="n">
        <v>12000</v>
      </c>
      <c r="G7" s="155" t="n">
        <v>0</v>
      </c>
      <c r="H7" s="156" t="n">
        <v>0.09</v>
      </c>
      <c r="I7" s="117" t="inlineStr">
        <is>
          <t>Transactionnelle</t>
        </is>
      </c>
      <c r="J7" s="117" t="inlineStr">
        <is>
          <t>P1</t>
        </is>
      </c>
      <c r="K7" s="151" t="n">
        <v>30</v>
      </c>
      <c r="L7" s="156" t="n">
        <v>24.9</v>
      </c>
      <c r="M7" s="151">
        <f>ROUND((F7/(G7+1))*IF(J7="P1",1.2,IF(J7="P2",1,0.8)),0)</f>
        <v/>
      </c>
      <c r="N7" s="117" t="inlineStr">
        <is>
          <t>Angle découverte et retention</t>
        </is>
      </c>
      <c r="O7" s="117" t="inlineStr">
        <is>
          <t>Coloriages mystères par numéros, pixels kawaii, animaux cachés, cartes surprises.</t>
        </is>
      </c>
      <c r="P7" s="59" t="inlineStr">
        <is>
          <t>coloriage mystere</t>
        </is>
      </c>
    </row>
    <row r="8">
      <c r="A8" s="57" t="n">
        <v>5</v>
      </c>
      <c r="B8" s="117" t="inlineStr">
        <is>
          <t>Coloriages</t>
        </is>
      </c>
      <c r="C8" s="117" t="inlineStr">
        <is>
          <t>coloriage cosy</t>
        </is>
      </c>
      <c r="D8" s="117" t="inlineStr">
        <is>
          <t>Oui</t>
        </is>
      </c>
      <c r="E8" s="117" t="inlineStr">
        <is>
          <t>/collections/coloriage-cosy</t>
        </is>
      </c>
      <c r="F8" s="151" t="n">
        <v>9200</v>
      </c>
      <c r="G8" s="155" t="n">
        <v>0</v>
      </c>
      <c r="H8" s="156" t="n">
        <v>0.11</v>
      </c>
      <c r="I8" s="117" t="inlineStr">
        <is>
          <t>Commerciale</t>
        </is>
      </c>
      <c r="J8" s="117" t="inlineStr">
        <is>
          <t>P1</t>
        </is>
      </c>
      <c r="K8" s="151" t="n">
        <v>30</v>
      </c>
      <c r="L8" s="156" t="n">
        <v>27.9</v>
      </c>
      <c r="M8" s="151">
        <f>ROUND((F8/(G8+1))*IF(J8="P1",1.2,IF(J8="P2",1,0.8)),0)</f>
        <v/>
      </c>
      <c r="N8" s="117" t="inlineStr">
        <is>
          <t>Positionnement marque cosy</t>
        </is>
      </c>
      <c r="O8" s="117" t="inlineStr">
        <is>
          <t>Univers cocooning : chats, thé, maison, automne, journaling, packs relaxation.</t>
        </is>
      </c>
      <c r="P8" s="59" t="inlineStr">
        <is>
          <t>coloriage cosy</t>
        </is>
      </c>
    </row>
    <row r="9">
      <c r="A9" s="57" t="n">
        <v>6</v>
      </c>
      <c r="B9" s="117" t="inlineStr">
        <is>
          <t>Coloriages</t>
        </is>
      </c>
      <c r="C9" s="117" t="inlineStr">
        <is>
          <t>coloriage manga</t>
        </is>
      </c>
      <c r="D9" s="117" t="inlineStr">
        <is>
          <t>Oui</t>
        </is>
      </c>
      <c r="E9" s="117" t="inlineStr">
        <is>
          <t>/collections/coloriage-manga</t>
        </is>
      </c>
      <c r="F9" s="151" t="n">
        <v>7000</v>
      </c>
      <c r="G9" s="155" t="n">
        <v>0</v>
      </c>
      <c r="H9" s="156" t="n">
        <v>0.07000000000000001</v>
      </c>
      <c r="I9" s="117" t="inlineStr">
        <is>
          <t>Commerciale</t>
        </is>
      </c>
      <c r="J9" s="117" t="inlineStr">
        <is>
          <t>P2</t>
        </is>
      </c>
      <c r="K9" s="151" t="n">
        <v>25</v>
      </c>
      <c r="L9" s="156" t="n">
        <v>24.9</v>
      </c>
      <c r="M9" s="151">
        <f>ROUND((F9/(G9+1))*IF(J9="P1",1.2,IF(J9="P2",1,0.8)),0)</f>
        <v/>
      </c>
      <c r="N9" s="117" t="inlineStr">
        <is>
          <t>Trafic passion mais IP-safe</t>
        </is>
      </c>
      <c r="O9" s="117" t="inlineStr">
        <is>
          <t>Personnages originaux manga/chibi, expressions, tenues, cahiers apprentissage dessin.</t>
        </is>
      </c>
      <c r="P9" s="59" t="inlineStr">
        <is>
          <t>coloriage manga</t>
        </is>
      </c>
    </row>
    <row r="10">
      <c r="A10" s="57" t="n">
        <v>7</v>
      </c>
      <c r="B10" s="117" t="inlineStr">
        <is>
          <t>Coloriages</t>
        </is>
      </c>
      <c r="C10" s="117" t="inlineStr">
        <is>
          <t>coloriage foot</t>
        </is>
      </c>
      <c r="D10" s="117" t="inlineStr">
        <is>
          <t>Oui</t>
        </is>
      </c>
      <c r="E10" s="117" t="inlineStr">
        <is>
          <t>/collections/coloriage-foot</t>
        </is>
      </c>
      <c r="F10" s="151" t="n">
        <v>6600</v>
      </c>
      <c r="G10" s="155" t="n">
        <v>0</v>
      </c>
      <c r="H10" s="156" t="n">
        <v>0.06</v>
      </c>
      <c r="I10" s="117" t="inlineStr">
        <is>
          <t>Commerciale</t>
        </is>
      </c>
      <c r="J10" s="117" t="inlineStr">
        <is>
          <t>P2</t>
        </is>
      </c>
      <c r="K10" s="151" t="n">
        <v>25</v>
      </c>
      <c r="L10" s="156" t="n">
        <v>19.9</v>
      </c>
      <c r="M10" s="151">
        <f>ROUND((F10/(G10+1))*IF(J10="P1",1.2,IF(J10="P2",1,0.8)),0)</f>
        <v/>
      </c>
      <c r="N10" s="117" t="inlineStr">
        <is>
          <t>Collection cadeau enfant</t>
        </is>
      </c>
      <c r="O10" s="117" t="inlineStr">
        <is>
          <t>Coloriages football génériques, maillots non licenciés, trophées, ballons, activités anniversaire.</t>
        </is>
      </c>
      <c r="P10" s="59" t="inlineStr">
        <is>
          <t>coloriage foot</t>
        </is>
      </c>
    </row>
    <row r="11">
      <c r="A11" s="57" t="n">
        <v>8</v>
      </c>
      <c r="B11" s="117" t="inlineStr">
        <is>
          <t>Coloriages</t>
        </is>
      </c>
      <c r="C11" s="117" t="inlineStr">
        <is>
          <t>coloriage fille</t>
        </is>
      </c>
      <c r="D11" s="117" t="inlineStr">
        <is>
          <t>Oui</t>
        </is>
      </c>
      <c r="E11" s="117" t="inlineStr">
        <is>
          <t>/collections/coloriage-fille</t>
        </is>
      </c>
      <c r="F11" s="151" t="n">
        <v>6600</v>
      </c>
      <c r="G11" s="155" t="n">
        <v>0</v>
      </c>
      <c r="H11" s="156" t="str"/>
      <c r="I11" s="117" t="inlineStr">
        <is>
          <t>Commerciale</t>
        </is>
      </c>
      <c r="J11" s="117" t="inlineStr">
        <is>
          <t>P2</t>
        </is>
      </c>
      <c r="K11" s="151" t="n">
        <v>25</v>
      </c>
      <c r="L11" s="156" t="n">
        <v>19.9</v>
      </c>
      <c r="M11" s="151">
        <f>ROUND((F11/(G11+1))*IF(J11="P1",1.2,IF(J11="P2",1,0.8)),0)</f>
        <v/>
      </c>
      <c r="N11" s="117" t="inlineStr">
        <is>
          <t>Requête large enfant</t>
        </is>
      </c>
      <c r="O11" s="117" t="inlineStr">
        <is>
          <t>Licornes, animaux mignons, sirènes, mode, stickers. Attention à garder un wording inclusif en site.</t>
        </is>
      </c>
      <c r="P11" s="59" t="inlineStr">
        <is>
          <t>coloriage fille</t>
        </is>
      </c>
    </row>
    <row r="12">
      <c r="A12" s="57" t="n">
        <v>9</v>
      </c>
      <c r="B12" s="117" t="inlineStr">
        <is>
          <t>Coloriages</t>
        </is>
      </c>
      <c r="C12" s="117" t="inlineStr">
        <is>
          <t>coloriage kawaii fille</t>
        </is>
      </c>
      <c r="D12" s="117" t="inlineStr">
        <is>
          <t>Oui</t>
        </is>
      </c>
      <c r="E12" s="117" t="inlineStr">
        <is>
          <t>/collections/coloriage-kawaii-fille</t>
        </is>
      </c>
      <c r="F12" s="151" t="n">
        <v>4800</v>
      </c>
      <c r="G12" s="155" t="n">
        <v>1</v>
      </c>
      <c r="H12" s="156" t="str"/>
      <c r="I12" s="117" t="inlineStr">
        <is>
          <t>Transactionnelle</t>
        </is>
      </c>
      <c r="J12" s="117" t="inlineStr">
        <is>
          <t>P2</t>
        </is>
      </c>
      <c r="K12" s="151" t="n">
        <v>25</v>
      </c>
      <c r="L12" s="156" t="n">
        <v>19.9</v>
      </c>
      <c r="M12" s="151">
        <f>ROUND((F12/(G12+1))*IF(J12="P1",1.2,IF(J12="P2",1,0.8)),0)</f>
        <v/>
      </c>
      <c r="N12" s="117" t="inlineStr">
        <is>
          <t>Longue traîne transactionnelle</t>
        </is>
      </c>
      <c r="O12" s="117" t="inlineStr">
        <is>
          <t>Déclinaison plus ciblée de la page pilier, à mailler depuis coloriage kawaii et coloriage fille.</t>
        </is>
      </c>
      <c r="P12" s="59" t="inlineStr">
        <is>
          <t>coloriage kawaii fille</t>
        </is>
      </c>
    </row>
    <row r="13">
      <c r="A13" s="57" t="n">
        <v>10</v>
      </c>
      <c r="B13" s="117" t="inlineStr">
        <is>
          <t>Thèmes kawaii</t>
        </is>
      </c>
      <c r="C13" s="117" t="inlineStr">
        <is>
          <t>chat kawaii</t>
        </is>
      </c>
      <c r="D13" s="117" t="inlineStr">
        <is>
          <t>Oui</t>
        </is>
      </c>
      <c r="E13" s="117" t="inlineStr">
        <is>
          <t>/collections/chat-kawaii</t>
        </is>
      </c>
      <c r="F13" s="151" t="n">
        <v>4200</v>
      </c>
      <c r="G13" s="155" t="n">
        <v>0</v>
      </c>
      <c r="H13" s="156" t="n">
        <v>0.06</v>
      </c>
      <c r="I13" s="117" t="inlineStr">
        <is>
          <t>Commerciale</t>
        </is>
      </c>
      <c r="J13" s="117" t="inlineStr">
        <is>
          <t>P2</t>
        </is>
      </c>
      <c r="K13" s="151" t="n">
        <v>20</v>
      </c>
      <c r="L13" s="156" t="n">
        <v>22.9</v>
      </c>
      <c r="M13" s="151">
        <f>ROUND((F13/(G13+1))*IF(J13="P1",1.2,IF(J13="P2",1,0.8)),0)</f>
        <v/>
      </c>
      <c r="N13" s="117" t="inlineStr">
        <is>
          <t>Thème très brandable</t>
        </is>
      </c>
      <c r="O13" s="117" t="inlineStr">
        <is>
          <t>Collection de livres, stickers, marque-pages et mini kits autour du chat kawaii.</t>
        </is>
      </c>
      <c r="P13" s="59" t="inlineStr">
        <is>
          <t>chat kawaii</t>
        </is>
      </c>
    </row>
    <row r="14">
      <c r="A14" s="57" t="n">
        <v>11</v>
      </c>
      <c r="B14" s="117" t="inlineStr">
        <is>
          <t>Accessoires</t>
        </is>
      </c>
      <c r="C14" s="117" t="inlineStr">
        <is>
          <t>feutre acrylique</t>
        </is>
      </c>
      <c r="D14" s="117" t="inlineStr">
        <is>
          <t>Oui</t>
        </is>
      </c>
      <c r="E14" s="117" t="inlineStr">
        <is>
          <t>/collections/feutre-acrylique</t>
        </is>
      </c>
      <c r="F14" s="151" t="n">
        <v>33000</v>
      </c>
      <c r="G14" s="155" t="n">
        <v>0</v>
      </c>
      <c r="H14" s="156" t="n">
        <v>0.16</v>
      </c>
      <c r="I14" s="117" t="inlineStr">
        <is>
          <t>Transactionnelle</t>
        </is>
      </c>
      <c r="J14" s="117" t="inlineStr">
        <is>
          <t>P1</t>
        </is>
      </c>
      <c r="K14" s="151" t="n">
        <v>40</v>
      </c>
      <c r="L14" s="156" t="n">
        <v>29.9</v>
      </c>
      <c r="M14" s="151">
        <f>ROUND((F14/(G14+1))*IF(J14="P1",1.2,IF(J14="P2",1,0.8)),0)</f>
        <v/>
      </c>
      <c r="N14" s="117" t="inlineStr">
        <is>
          <t>Monétisation accessoire forte</t>
        </is>
      </c>
      <c r="O14" s="117" t="inlineStr">
        <is>
          <t>Sets de feutres, pointes fines, packs couleurs pastel, bundle avec cahiers papier épais.</t>
        </is>
      </c>
      <c r="P14" s="59" t="inlineStr">
        <is>
          <t>feutre acrylique</t>
        </is>
      </c>
    </row>
    <row r="15">
      <c r="A15" s="57" t="n">
        <v>12</v>
      </c>
      <c r="B15" s="117" t="inlineStr">
        <is>
          <t>Accessoires</t>
        </is>
      </c>
      <c r="C15" s="117" t="inlineStr">
        <is>
          <t>feutre a alcool</t>
        </is>
      </c>
      <c r="D15" s="117" t="inlineStr">
        <is>
          <t>Oui</t>
        </is>
      </c>
      <c r="E15" s="117" t="inlineStr">
        <is>
          <t>/collections/feutre-a-alcool</t>
        </is>
      </c>
      <c r="F15" s="151" t="n">
        <v>5400</v>
      </c>
      <c r="G15" s="155" t="n">
        <v>0</v>
      </c>
      <c r="H15" s="156" t="n">
        <v>0.21</v>
      </c>
      <c r="I15" s="117" t="inlineStr">
        <is>
          <t>Transactionnelle</t>
        </is>
      </c>
      <c r="J15" s="117" t="inlineStr">
        <is>
          <t>P2</t>
        </is>
      </c>
      <c r="K15" s="151" t="n">
        <v>30</v>
      </c>
      <c r="L15" s="156" t="n">
        <v>34.9</v>
      </c>
      <c r="M15" s="151">
        <f>ROUND((F15/(G15+1))*IF(J15="P1",1.2,IF(J15="P2",1,0.8)),0)</f>
        <v/>
      </c>
      <c r="N15" s="117" t="inlineStr">
        <is>
          <t>Panier moyen et upsell</t>
        </is>
      </c>
      <c r="O15" s="117" t="inlineStr">
        <is>
          <t>Sets alcohol markers, nuanciers, pochettes rangement, packs débutant et premium.</t>
        </is>
      </c>
      <c r="P15" s="59" t="inlineStr">
        <is>
          <t>feutre a alcool</t>
        </is>
      </c>
    </row>
    <row r="16">
      <c r="A16" s="57" t="n">
        <v>13</v>
      </c>
      <c r="B16" s="117" t="inlineStr">
        <is>
          <t>Accessoires</t>
        </is>
      </c>
      <c r="C16" s="117" t="inlineStr">
        <is>
          <t>trousse kawaii</t>
        </is>
      </c>
      <c r="D16" s="117" t="inlineStr">
        <is>
          <t>Oui</t>
        </is>
      </c>
      <c r="E16" s="117" t="inlineStr">
        <is>
          <t>/collections/trousse-kawaii</t>
        </is>
      </c>
      <c r="F16" s="151" t="n">
        <v>3800</v>
      </c>
      <c r="G16" s="155" t="n">
        <v>0</v>
      </c>
      <c r="H16" s="156" t="n">
        <v>0.14</v>
      </c>
      <c r="I16" s="117" t="inlineStr">
        <is>
          <t>Transactionnelle</t>
        </is>
      </c>
      <c r="J16" s="117" t="inlineStr">
        <is>
          <t>P2</t>
        </is>
      </c>
      <c r="K16" s="151" t="n">
        <v>20</v>
      </c>
      <c r="L16" s="156" t="n">
        <v>19.9</v>
      </c>
      <c r="M16" s="151">
        <f>ROUND((F16/(G16+1))*IF(J16="P1",1.2,IF(J16="P2",1,0.8)),0)</f>
        <v/>
      </c>
      <c r="N16" s="117" t="inlineStr">
        <is>
          <t>Produit léger et cadeau</t>
        </is>
      </c>
      <c r="O16" s="117" t="inlineStr">
        <is>
          <t>Trousses mignonnes, pochettes feutres, rangement coloriage, lots rentrée.</t>
        </is>
      </c>
      <c r="P16" s="59" t="inlineStr">
        <is>
          <t>trousse kawaii</t>
        </is>
      </c>
    </row>
    <row r="17">
      <c r="A17" s="57" t="n">
        <v>14</v>
      </c>
      <c r="B17" s="117" t="inlineStr">
        <is>
          <t>Cadeaux creatifs</t>
        </is>
      </c>
      <c r="C17" s="117" t="inlineStr">
        <is>
          <t>marque page personnalisé</t>
        </is>
      </c>
      <c r="D17" s="117" t="inlineStr">
        <is>
          <t>Oui</t>
        </is>
      </c>
      <c r="E17" s="117" t="inlineStr">
        <is>
          <t>/collections/marque-page-personnalise</t>
        </is>
      </c>
      <c r="F17" s="151" t="n">
        <v>3700</v>
      </c>
      <c r="G17" s="155" t="n">
        <v>1</v>
      </c>
      <c r="H17" s="156" t="n">
        <v>0.42</v>
      </c>
      <c r="I17" s="117" t="inlineStr">
        <is>
          <t>Transactionnelle</t>
        </is>
      </c>
      <c r="J17" s="117" t="inlineStr">
        <is>
          <t>P2</t>
        </is>
      </c>
      <c r="K17" s="151" t="n">
        <v>20</v>
      </c>
      <c r="L17" s="156" t="n">
        <v>14.9</v>
      </c>
      <c r="M17" s="151">
        <f>ROUND((F17/(G17+1))*IF(J17="P1",1.2,IF(J17="P2",1,0.8)),0)</f>
        <v/>
      </c>
      <c r="N17" s="117" t="inlineStr">
        <is>
          <t>AOV par personnalisation</t>
        </is>
      </c>
      <c r="O17" s="117" t="inlineStr">
        <is>
          <t>Marque-pages prénom, chats, fleurs, citations, lots de 3 et bundle cahier.</t>
        </is>
      </c>
      <c r="P17" s="59" t="inlineStr">
        <is>
          <t>marque page personnalisé</t>
        </is>
      </c>
    </row>
    <row r="18">
      <c r="A18" s="60" t="n">
        <v>15</v>
      </c>
      <c r="B18" s="118" t="inlineStr">
        <is>
          <t>Cadeaux creatifs</t>
        </is>
      </c>
      <c r="C18" s="118" t="inlineStr">
        <is>
          <t>diamond painting personnalisé</t>
        </is>
      </c>
      <c r="D18" s="118" t="inlineStr">
        <is>
          <t>Oui</t>
        </is>
      </c>
      <c r="E18" s="118" t="inlineStr">
        <is>
          <t>/collections/diamond-painting-personnalise</t>
        </is>
      </c>
      <c r="F18" s="152" t="n">
        <v>6000</v>
      </c>
      <c r="G18" s="157" t="n">
        <v>2</v>
      </c>
      <c r="H18" s="158" t="n">
        <v>0.71</v>
      </c>
      <c r="I18" s="118" t="inlineStr">
        <is>
          <t>Transactionnelle</t>
        </is>
      </c>
      <c r="J18" s="118" t="inlineStr">
        <is>
          <t>P2</t>
        </is>
      </c>
      <c r="K18" s="152" t="n">
        <v>30</v>
      </c>
      <c r="L18" s="158" t="n">
        <v>34.9</v>
      </c>
      <c r="M18" s="152">
        <f>ROUND((F18/(G18+1))*IF(J18="P1",1.2,IF(J18="P2",1,0.8)),0)</f>
        <v/>
      </c>
      <c r="N18" s="118" t="inlineStr">
        <is>
          <t>Produit cadeau à marge</t>
        </is>
      </c>
      <c r="O18" s="118" t="inlineStr">
        <is>
          <t>Kits personnalisés, formats petits faciles à expédier, modèles animaux kawaii.</t>
        </is>
      </c>
      <c r="P18" s="62" t="inlineStr">
        <is>
          <t>diamond painting personnalisé</t>
        </is>
      </c>
    </row>
  </sheetData>
  <mergeCells count="1">
    <mergeCell ref="A1:P1"/>
  </mergeCells>
  <dataValidations count="2">
    <dataValidation sqref="D4:D18" showDropDown="0" showInputMessage="0" showErrorMessage="0" allowBlank="0" type="list">
      <formula1>"Oui,Non"</formula1>
    </dataValidation>
    <dataValidation sqref="J4:J18" showDropDown="0" showInputMessage="0" showErrorMessage="0" allowBlank="0" type="list">
      <formula1>"P1,P2,P3"</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28" customWidth="1" style="111" min="1" max="1"/>
    <col width="18" customWidth="1" style="111" min="2" max="2"/>
    <col width="12" customWidth="1" style="111" min="3" max="3"/>
    <col width="12" customWidth="1" style="111" min="4" max="4"/>
    <col width="45" customWidth="1" style="111" min="5" max="5"/>
    <col width="58" customWidth="1" style="111" min="6" max="6"/>
    <col width="34" customWidth="1" style="111" min="7" max="7"/>
    <col width="38" customWidth="1" style="111" min="8" max="8"/>
    <col width="10" customWidth="1" style="111" min="9" max="9"/>
    <col width="42" customWidth="1" style="111" min="10" max="10"/>
  </cols>
  <sheetData>
    <row r="1" ht="34" customHeight="1" s="111">
      <c r="A1" s="133" t="inlineStr">
        <is>
          <t>Plan SKU - 300+ produits sans sortir du theme</t>
        </is>
      </c>
    </row>
    <row r="2">
      <c r="A2" s="117" t="n"/>
      <c r="B2" s="117" t="n"/>
      <c r="C2" s="117" t="n"/>
      <c r="D2" s="117" t="n"/>
      <c r="E2" s="117" t="n"/>
      <c r="F2" s="117" t="n"/>
      <c r="G2" s="117" t="n"/>
      <c r="H2" s="117" t="n"/>
      <c r="I2" s="117" t="n"/>
      <c r="J2" s="117" t="n"/>
    </row>
    <row r="3">
      <c r="A3" s="135" t="inlineStr">
        <is>
          <t>Collection = mot-cle</t>
        </is>
      </c>
      <c r="B3" s="136" t="inlineStr">
        <is>
          <t>Pilier</t>
        </is>
      </c>
      <c r="C3" s="136" t="inlineStr">
        <is>
          <t>SKU cible</t>
        </is>
      </c>
      <c r="D3" s="136" t="inlineStr">
        <is>
          <t>Prix moyen cible</t>
        </is>
      </c>
      <c r="E3" s="136" t="inlineStr">
        <is>
          <t>Repartition SKU</t>
        </is>
      </c>
      <c r="F3" s="136" t="inlineStr">
        <is>
          <t>Exemples produits</t>
        </is>
      </c>
      <c r="G3" s="136" t="inlineStr">
        <is>
          <t>Bundle prioritaire</t>
        </is>
      </c>
      <c r="H3" s="136" t="inlineStr">
        <is>
          <t>Recherche sourcing AliExpress</t>
        </is>
      </c>
      <c r="I3" s="136" t="inlineStr">
        <is>
          <t>Priorite</t>
        </is>
      </c>
      <c r="J3" s="137" t="inlineStr">
        <is>
          <t>Risque a eviter</t>
        </is>
      </c>
    </row>
    <row r="4">
      <c r="A4" s="54" t="inlineStr">
        <is>
          <t>coloriage kawaii</t>
        </is>
      </c>
      <c r="B4" s="116" t="inlineStr">
        <is>
          <t>Coloriages</t>
        </is>
      </c>
      <c r="C4" s="150" t="n">
        <v>45</v>
      </c>
      <c r="D4" s="154" t="n">
        <v>24.9</v>
      </c>
      <c r="E4" s="116" t="inlineStr">
        <is>
          <t>15 livres thématiques, 10 carnets, 10 packs pages, 5 bundles feutres, 5 éditions cadeau</t>
        </is>
      </c>
      <c r="F4" s="116" t="inlineStr">
        <is>
          <t>Livres, carnets, packs imprimés, bundles découverte. Page mère à mailler vers tous les thèmes kawaii.</t>
        </is>
      </c>
      <c r="G4" s="116" t="inlineStr">
        <is>
          <t>Bundle coloriage kawaii + feutres + marque-page</t>
        </is>
      </c>
      <c r="H4" s="116" t="inlineStr">
        <is>
          <t>kawaii coloring book, cute coloring pages book, kids coloring book bundle</t>
        </is>
      </c>
      <c r="I4" s="116" t="inlineStr">
        <is>
          <t>P1</t>
        </is>
      </c>
      <c r="J4" s="56" t="inlineStr">
        <is>
          <t>Verifier qualite papier, delais, packaging et photos fournisseurs.</t>
        </is>
      </c>
    </row>
    <row r="5">
      <c r="A5" s="57" t="inlineStr">
        <is>
          <t>coloriage adulte</t>
        </is>
      </c>
      <c r="B5" s="117" t="inlineStr">
        <is>
          <t>Coloriages</t>
        </is>
      </c>
      <c r="C5" s="151" t="n">
        <v>35</v>
      </c>
      <c r="D5" s="156" t="n">
        <v>29.9</v>
      </c>
      <c r="E5" s="117" t="inlineStr">
        <is>
          <t>12 livres premium, 8 mandalas kawaii, 6 kits relaxation, 5 carnets papier épais, 4 bundles</t>
        </is>
      </c>
      <c r="F5" s="117" t="inlineStr">
        <is>
          <t>Cahiers anti-stress, mandalas kawaii, carnets premium papier épais, packs feutres + livre.</t>
        </is>
      </c>
      <c r="G5" s="117" t="inlineStr">
        <is>
          <t>Bundle coloriage adulte + feutres + marque-page</t>
        </is>
      </c>
      <c r="H5" s="117" t="inlineStr">
        <is>
          <t>adult coloring book, stress relief coloring book, cute mandala coloring</t>
        </is>
      </c>
      <c r="I5" s="117" t="inlineStr">
        <is>
          <t>P1</t>
        </is>
      </c>
      <c r="J5" s="59" t="inlineStr">
        <is>
          <t>Verifier qualite papier, delais, packaging et photos fournisseurs.</t>
        </is>
      </c>
    </row>
    <row r="6">
      <c r="A6" s="57" t="inlineStr">
        <is>
          <t>coloriage magique</t>
        </is>
      </c>
      <c r="B6" s="117" t="inlineStr">
        <is>
          <t>Coloriages</t>
        </is>
      </c>
      <c r="C6" s="151" t="n">
        <v>30</v>
      </c>
      <c r="D6" s="156" t="n">
        <v>22.9</v>
      </c>
      <c r="E6" s="117" t="inlineStr">
        <is>
          <t>10 livres eau, 8 feutres magiques, 6 cahiers réutilisables, 4 sets anniversaire, 2 packs voyage</t>
        </is>
      </c>
      <c r="F6" s="117" t="inlineStr">
        <is>
          <t>Livres à révélation, feutres magiques, cahiers effaçables, packs cadeaux anniversaire.</t>
        </is>
      </c>
      <c r="G6" s="117" t="inlineStr">
        <is>
          <t>Bundle coloriage magique + feutres + marque-page</t>
        </is>
      </c>
      <c r="H6" s="117" t="inlineStr">
        <is>
          <t>magic coloring book, reusable coloring book, water coloring book</t>
        </is>
      </c>
      <c r="I6" s="117" t="inlineStr">
        <is>
          <t>P1</t>
        </is>
      </c>
      <c r="J6" s="59" t="inlineStr">
        <is>
          <t>Verifier qualite papier, delais, packaging et photos fournisseurs.</t>
        </is>
      </c>
    </row>
    <row r="7">
      <c r="A7" s="57" t="inlineStr">
        <is>
          <t>coloriage mystere</t>
        </is>
      </c>
      <c r="B7" s="117" t="inlineStr">
        <is>
          <t>Coloriages</t>
        </is>
      </c>
      <c r="C7" s="151" t="n">
        <v>30</v>
      </c>
      <c r="D7" s="156" t="n">
        <v>24.9</v>
      </c>
      <c r="E7" s="117" t="inlineStr">
        <is>
          <t>10 livres par numéros, 8 pixel art, 6 cartes mystère, 4 packs animaux, 2 mini formats</t>
        </is>
      </c>
      <c r="F7" s="117" t="inlineStr">
        <is>
          <t>Coloriages mystères par numéros, pixels kawaii, animaux cachés, cartes surprises.</t>
        </is>
      </c>
      <c r="G7" s="117" t="inlineStr">
        <is>
          <t>Bundle coloriage mystere + feutres + marque-page</t>
        </is>
      </c>
      <c r="H7" s="117" t="inlineStr">
        <is>
          <t>mystery coloring book, color by number cute, pixel coloring book</t>
        </is>
      </c>
      <c r="I7" s="117" t="inlineStr">
        <is>
          <t>P1</t>
        </is>
      </c>
      <c r="J7" s="59" t="inlineStr">
        <is>
          <t>Verifier qualite papier, delais, packaging et photos fournisseurs.</t>
        </is>
      </c>
    </row>
    <row r="8">
      <c r="A8" s="57" t="inlineStr">
        <is>
          <t>coloriage cosy</t>
        </is>
      </c>
      <c r="B8" s="117" t="inlineStr">
        <is>
          <t>Coloriages</t>
        </is>
      </c>
      <c r="C8" s="151" t="n">
        <v>30</v>
      </c>
      <c r="D8" s="156" t="n">
        <v>27.9</v>
      </c>
      <c r="E8" s="117" t="inlineStr">
        <is>
          <t>10 livres cocooning, 6 automne, 5 chats, 5 cottagecore, 4 bundles détente</t>
        </is>
      </c>
      <c r="F8" s="117" t="inlineStr">
        <is>
          <t>Univers cocooning : chats, thé, maison, automne, journaling, packs relaxation.</t>
        </is>
      </c>
      <c r="G8" s="117" t="inlineStr">
        <is>
          <t>Bundle coloriage cosy + feutres + marque-page</t>
        </is>
      </c>
      <c r="H8" s="117" t="inlineStr">
        <is>
          <t>cozy coloring book, cottagecore coloring book, cute home coloring</t>
        </is>
      </c>
      <c r="I8" s="117" t="inlineStr">
        <is>
          <t>P1</t>
        </is>
      </c>
      <c r="J8" s="59" t="inlineStr">
        <is>
          <t>Verifier qualite papier, delais, packaging et photos fournisseurs.</t>
        </is>
      </c>
    </row>
    <row r="9">
      <c r="A9" s="57" t="inlineStr">
        <is>
          <t>coloriage manga</t>
        </is>
      </c>
      <c r="B9" s="117" t="inlineStr">
        <is>
          <t>Coloriages</t>
        </is>
      </c>
      <c r="C9" s="151" t="n">
        <v>25</v>
      </c>
      <c r="D9" s="156" t="n">
        <v>24.9</v>
      </c>
      <c r="E9" s="117" t="inlineStr">
        <is>
          <t>8 chibi, 6 personnages originaux, 5 expressions, 4 tenues, 2 apprentissage dessin</t>
        </is>
      </c>
      <c r="F9" s="117" t="inlineStr">
        <is>
          <t>Personnages originaux manga/chibi, expressions, tenues, cahiers apprentissage dessin.</t>
        </is>
      </c>
      <c r="G9" s="117" t="inlineStr">
        <is>
          <t>Bundle coloriage manga + feutres + marque-page</t>
        </is>
      </c>
      <c r="H9" s="117" t="inlineStr">
        <is>
          <t>manga coloring book, chibi coloring book, anime style coloring book</t>
        </is>
      </c>
      <c r="I9" s="117" t="inlineStr">
        <is>
          <t>P2</t>
        </is>
      </c>
      <c r="J9" s="59" t="inlineStr">
        <is>
          <t>Eviter personnages sous licence et visuels copies.</t>
        </is>
      </c>
    </row>
    <row r="10">
      <c r="A10" s="57" t="inlineStr">
        <is>
          <t>coloriage foot</t>
        </is>
      </c>
      <c r="B10" s="117" t="inlineStr">
        <is>
          <t>Coloriages</t>
        </is>
      </c>
      <c r="C10" s="151" t="n">
        <v>25</v>
      </c>
      <c r="D10" s="156" t="n">
        <v>19.9</v>
      </c>
      <c r="E10" s="117" t="inlineStr">
        <is>
          <t>8 cahiers football, 6 packs anniversaire, 5 ballons/trophées, 4 mini livres, 2 stickers</t>
        </is>
      </c>
      <c r="F10" s="117" t="inlineStr">
        <is>
          <t>Coloriages football génériques, maillots non licenciés, trophées, ballons, activités anniversaire.</t>
        </is>
      </c>
      <c r="G10" s="117" t="inlineStr">
        <is>
          <t>Bundle coloriage foot + feutres + marque-page</t>
        </is>
      </c>
      <c r="H10" s="117" t="inlineStr">
        <is>
          <t>football coloring book, soccer coloring pages book, sports coloring book</t>
        </is>
      </c>
      <c r="I10" s="117" t="inlineStr">
        <is>
          <t>P2</t>
        </is>
      </c>
      <c r="J10" s="59" t="inlineStr">
        <is>
          <t>Verifier qualite papier, delais, packaging et photos fournisseurs.</t>
        </is>
      </c>
    </row>
    <row r="11">
      <c r="A11" s="57" t="inlineStr">
        <is>
          <t>coloriage fille</t>
        </is>
      </c>
      <c r="B11" s="117" t="inlineStr">
        <is>
          <t>Coloriages</t>
        </is>
      </c>
      <c r="C11" s="151" t="n">
        <v>25</v>
      </c>
      <c r="D11" s="156" t="n">
        <v>19.9</v>
      </c>
      <c r="E11" s="117" t="inlineStr">
        <is>
          <t>8 licornes, 6 animaux, 5 sirènes, 4 mode, 2 packs stickers</t>
        </is>
      </c>
      <c r="F11" s="117" t="inlineStr">
        <is>
          <t>Licornes, animaux mignons, sirènes, mode, stickers. Attention à garder un wording inclusif en site.</t>
        </is>
      </c>
      <c r="G11" s="117" t="inlineStr">
        <is>
          <t>Bundle coloriage fille + feutres + marque-page</t>
        </is>
      </c>
      <c r="H11" s="117" t="inlineStr">
        <is>
          <t>girls coloring book, unicorn coloring book, cute animals coloring</t>
        </is>
      </c>
      <c r="I11" s="117" t="inlineStr">
        <is>
          <t>P2</t>
        </is>
      </c>
      <c r="J11" s="59" t="inlineStr">
        <is>
          <t>Verifier qualite papier, delais, packaging et photos fournisseurs.</t>
        </is>
      </c>
    </row>
    <row r="12">
      <c r="A12" s="57" t="inlineStr">
        <is>
          <t>coloriage kawaii fille</t>
        </is>
      </c>
      <c r="B12" s="117" t="inlineStr">
        <is>
          <t>Coloriages</t>
        </is>
      </c>
      <c r="C12" s="151" t="n">
        <v>25</v>
      </c>
      <c r="D12" s="156" t="n">
        <v>19.9</v>
      </c>
      <c r="E12" s="117" t="inlineStr">
        <is>
          <t>8 livres kawaii, 6 animaux, 5 sirènes/licornes, 4 mini carnets, 2 bundles</t>
        </is>
      </c>
      <c r="F12" s="117" t="inlineStr">
        <is>
          <t>Déclinaison plus ciblée de la page pilier, à mailler depuis coloriage kawaii et coloriage fille.</t>
        </is>
      </c>
      <c r="G12" s="117" t="inlineStr">
        <is>
          <t>Bundle coloriage kawaii fille + feutres + marque-page</t>
        </is>
      </c>
      <c r="H12" s="117" t="inlineStr">
        <is>
          <t>kawaii girl coloring book, cute coloring book girl, kawaii activity book</t>
        </is>
      </c>
      <c r="I12" s="117" t="inlineStr">
        <is>
          <t>P2</t>
        </is>
      </c>
      <c r="J12" s="59" t="inlineStr">
        <is>
          <t>Verifier qualite papier, delais, packaging et photos fournisseurs.</t>
        </is>
      </c>
    </row>
    <row r="13">
      <c r="A13" s="57" t="inlineStr">
        <is>
          <t>chat kawaii</t>
        </is>
      </c>
      <c r="B13" s="117" t="inlineStr">
        <is>
          <t>Thèmes kawaii</t>
        </is>
      </c>
      <c r="C13" s="151" t="n">
        <v>20</v>
      </c>
      <c r="D13" s="156" t="n">
        <v>22.9</v>
      </c>
      <c r="E13" s="117" t="inlineStr">
        <is>
          <t>8 livres chats, 4 stickers, 4 marque-pages, 2 cartes, 2 mini carnets</t>
        </is>
      </c>
      <c r="F13" s="117" t="inlineStr">
        <is>
          <t>Collection de livres, stickers, marque-pages et mini kits autour du chat kawaii.</t>
        </is>
      </c>
      <c r="G13" s="117" t="inlineStr">
        <is>
          <t>Bundle chat kawaii + feutres + marque-page</t>
        </is>
      </c>
      <c r="H13" s="117" t="inlineStr">
        <is>
          <t>kawaii cat coloring book, cute cat stationery, cat sticker book</t>
        </is>
      </c>
      <c r="I13" s="117" t="inlineStr">
        <is>
          <t>P2</t>
        </is>
      </c>
      <c r="J13" s="59" t="inlineStr">
        <is>
          <t>Eviter personnages sous licence et visuels copies.</t>
        </is>
      </c>
    </row>
    <row r="14">
      <c r="A14" s="57" t="inlineStr">
        <is>
          <t>feutre acrylique</t>
        </is>
      </c>
      <c r="B14" s="117" t="inlineStr">
        <is>
          <t>Accessoires</t>
        </is>
      </c>
      <c r="C14" s="151" t="n">
        <v>40</v>
      </c>
      <c r="D14" s="156" t="n">
        <v>29.9</v>
      </c>
      <c r="E14" s="117" t="inlineStr">
        <is>
          <t>12 sets pastel, 8 pointes fines, 6 double pointe, 6 kits surfaces, 8 bundles</t>
        </is>
      </c>
      <c r="F14" s="117" t="inlineStr">
        <is>
          <t>Sets de feutres, pointes fines, packs couleurs pastel, bundle avec cahiers papier épais.</t>
        </is>
      </c>
      <c r="G14" s="117" t="inlineStr">
        <is>
          <t>Bundle feutre acrylique + coloriage kawaii</t>
        </is>
      </c>
      <c r="H14" s="117" t="inlineStr">
        <is>
          <t>acrylic markers set pastel, acrylic paint pens, dual tip acrylic markers</t>
        </is>
      </c>
      <c r="I14" s="117" t="inlineStr">
        <is>
          <t>P1</t>
        </is>
      </c>
      <c r="J14" s="59" t="inlineStr">
        <is>
          <t>Verifier qualite papier, delais, packaging et photos fournisseurs.</t>
        </is>
      </c>
    </row>
    <row r="15">
      <c r="A15" s="57" t="inlineStr">
        <is>
          <t>feutre a alcool</t>
        </is>
      </c>
      <c r="B15" s="117" t="inlineStr">
        <is>
          <t>Accessoires</t>
        </is>
      </c>
      <c r="C15" s="151" t="n">
        <v>30</v>
      </c>
      <c r="D15" s="156" t="n">
        <v>34.9</v>
      </c>
      <c r="E15" s="117" t="inlineStr">
        <is>
          <t>10 sets débutant, 8 sets premium, 5 nuanciers, 4 pochettes, 3 bundles livre</t>
        </is>
      </c>
      <c r="F15" s="117" t="inlineStr">
        <is>
          <t>Sets alcohol markers, nuanciers, pochettes rangement, packs débutant et premium.</t>
        </is>
      </c>
      <c r="G15" s="117" t="inlineStr">
        <is>
          <t>Bundle feutre a alcool + coloriage kawaii</t>
        </is>
      </c>
      <c r="H15" s="117" t="inlineStr">
        <is>
          <t>alcohol markers set, dual tip alcohol marker, marker storage case</t>
        </is>
      </c>
      <c r="I15" s="117" t="inlineStr">
        <is>
          <t>P2</t>
        </is>
      </c>
      <c r="J15" s="59" t="inlineStr">
        <is>
          <t>Verifier qualite papier, delais, packaging et photos fournisseurs.</t>
        </is>
      </c>
    </row>
    <row r="16">
      <c r="A16" s="57" t="inlineStr">
        <is>
          <t>trousse kawaii</t>
        </is>
      </c>
      <c r="B16" s="117" t="inlineStr">
        <is>
          <t>Accessoires</t>
        </is>
      </c>
      <c r="C16" s="151" t="n">
        <v>20</v>
      </c>
      <c r="D16" s="156" t="n">
        <v>19.9</v>
      </c>
      <c r="E16" s="117" t="inlineStr">
        <is>
          <t>8 trousses grands formats, 5 pochettes feutres, 4 lots rentrée, 3 trousses personnalisées</t>
        </is>
      </c>
      <c r="F16" s="117" t="inlineStr">
        <is>
          <t>Trousses mignonnes, pochettes feutres, rangement coloriage, lots rentrée.</t>
        </is>
      </c>
      <c r="G16" s="117" t="inlineStr">
        <is>
          <t>Bundle trousse kawaii + coloriage kawaii</t>
        </is>
      </c>
      <c r="H16" s="117" t="inlineStr">
        <is>
          <t>kawaii pencil case, cute stationery pouch, marker pencil case</t>
        </is>
      </c>
      <c r="I16" s="117" t="inlineStr">
        <is>
          <t>P2</t>
        </is>
      </c>
      <c r="J16" s="59" t="inlineStr">
        <is>
          <t>Verifier qualite papier, delais, packaging et photos fournisseurs.</t>
        </is>
      </c>
    </row>
    <row r="17">
      <c r="A17" s="57" t="inlineStr">
        <is>
          <t>marque page personnalisé</t>
        </is>
      </c>
      <c r="B17" s="117" t="inlineStr">
        <is>
          <t>Cadeaux creatifs</t>
        </is>
      </c>
      <c r="C17" s="151" t="n">
        <v>20</v>
      </c>
      <c r="D17" s="156" t="n">
        <v>14.9</v>
      </c>
      <c r="E17" s="117" t="inlineStr">
        <is>
          <t>8 prénoms, 4 chats, 4 fleurs, 2 citations, 2 lots cadeau</t>
        </is>
      </c>
      <c r="F17" s="117" t="inlineStr">
        <is>
          <t>Marque-pages prénom, chats, fleurs, citations, lots de 3 et bundle cahier.</t>
        </is>
      </c>
      <c r="G17" s="117" t="inlineStr">
        <is>
          <t>Bundle marque page personnalisé + feutres + marque-page</t>
        </is>
      </c>
      <c r="H17" s="117" t="inlineStr">
        <is>
          <t>custom bookmark, personalized bookmark, cute bookmark set</t>
        </is>
      </c>
      <c r="I17" s="117" t="inlineStr">
        <is>
          <t>P2</t>
        </is>
      </c>
      <c r="J17" s="59" t="inlineStr">
        <is>
          <t>Verifier qualite papier, delais, packaging et photos fournisseurs.</t>
        </is>
      </c>
    </row>
    <row r="18">
      <c r="A18" s="60" t="inlineStr">
        <is>
          <t>diamond painting personnalisé</t>
        </is>
      </c>
      <c r="B18" s="118" t="inlineStr">
        <is>
          <t>Cadeaux creatifs</t>
        </is>
      </c>
      <c r="C18" s="152" t="n">
        <v>30</v>
      </c>
      <c r="D18" s="158" t="n">
        <v>34.9</v>
      </c>
      <c r="E18" s="118" t="inlineStr">
        <is>
          <t>10 formats portrait, 6 animaux, 5 mini kits, 5 packs cadeau, 4 accessoires</t>
        </is>
      </c>
      <c r="F18" s="118" t="inlineStr">
        <is>
          <t>Kits personnalisés, formats petits faciles à expédier, modèles animaux kawaii.</t>
        </is>
      </c>
      <c r="G18" s="118" t="inlineStr">
        <is>
          <t>Bundle diamond painting personnalisé + feutres + marque-page</t>
        </is>
      </c>
      <c r="H18" s="118" t="inlineStr">
        <is>
          <t>custom diamond painting kit, personalized diamond painting, small diamond art kit</t>
        </is>
      </c>
      <c r="I18" s="118" t="inlineStr">
        <is>
          <t>P2</t>
        </is>
      </c>
      <c r="J18" s="62" t="inlineStr">
        <is>
          <t>Verifier qualite papier, delais, packaging et photos fournisseurs.</t>
        </is>
      </c>
    </row>
  </sheetData>
  <mergeCells count="1">
    <mergeCell ref="A1:J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32"/>
  <sheetViews>
    <sheetView showGridLines="0" workbookViewId="0">
      <selection activeCell="A1" sqref="A1"/>
    </sheetView>
  </sheetViews>
  <sheetFormatPr baseColWidth="8" defaultRowHeight="15"/>
  <cols>
    <col width="24" customWidth="1" style="111" min="1" max="1"/>
    <col width="42" customWidth="1" style="111" min="2" max="2"/>
    <col width="28" customWidth="1" style="111" min="3" max="3"/>
    <col width="32" customWidth="1" style="111" min="4" max="4"/>
    <col width="52" customWidth="1" style="111" min="5" max="5"/>
    <col width="30" customWidth="1" style="111" min="6" max="6"/>
    <col width="30" customWidth="1" style="111" min="7" max="7"/>
    <col width="48" customWidth="1" style="111" min="8" max="8"/>
    <col width="48" customWidth="1" style="111" min="9" max="9"/>
    <col width="48" customWidth="1" style="111" min="10" max="10"/>
    <col width="48" customWidth="1" style="111" min="11" max="11"/>
    <col width="48" customWidth="1" style="111" min="12" max="12"/>
    <col width="14" customWidth="1" style="111" min="13" max="13"/>
    <col width="18" customWidth="1" style="111" min="14" max="14"/>
  </cols>
  <sheetData>
    <row r="1" ht="34" customHeight="1" s="111">
      <c r="A1" s="133" t="inlineStr">
        <is>
          <t>Concurrents spécialisés - coloriage kawaii et cosy</t>
        </is>
      </c>
    </row>
    <row r="2">
      <c r="A2" s="134" t="inlineStr">
        <is>
          <t>Pure players et mini-marques vérifiés le 2026-07-10. Marketplaces, grandes enseignes et sites sans vente directe sont exclus.</t>
        </is>
      </c>
    </row>
    <row r="3">
      <c r="A3" s="135" t="inlineStr">
        <is>
          <t>Concurrent</t>
        </is>
      </c>
      <c r="B3" s="136" t="inlineStr">
        <is>
          <t>URL</t>
        </is>
      </c>
      <c r="C3" s="136" t="inlineStr">
        <is>
          <t>Pays / langue</t>
        </is>
      </c>
      <c r="D3" s="136" t="inlineStr">
        <is>
          <t>Livraison France</t>
        </is>
      </c>
      <c r="E3" s="136" t="inlineStr">
        <is>
          <t>Positionnement</t>
        </is>
      </c>
      <c r="F3" s="136" t="inlineStr">
        <is>
          <t>Spécialisation</t>
        </is>
      </c>
      <c r="G3" s="136" t="inlineStr">
        <is>
          <t>Prix repère</t>
        </is>
      </c>
      <c r="H3" s="136" t="inlineStr">
        <is>
          <t>Maturité visible</t>
        </is>
      </c>
      <c r="I3" s="136" t="inlineStr">
        <is>
          <t>Forces</t>
        </is>
      </c>
      <c r="J3" s="136" t="inlineStr">
        <is>
          <t>Faiblesses</t>
        </is>
      </c>
      <c r="K3" s="136" t="inlineStr">
        <is>
          <t>Opportunité pour la boutique</t>
        </is>
      </c>
      <c r="L3" s="136" t="inlineStr">
        <is>
          <t>URL de preuve</t>
        </is>
      </c>
      <c r="M3" s="136" t="inlineStr">
        <is>
          <t>Menace FR</t>
        </is>
      </c>
      <c r="N3" s="137" t="inlineStr">
        <is>
          <t>Date vérification</t>
        </is>
      </c>
    </row>
    <row r="4">
      <c r="A4" s="54" t="inlineStr">
        <is>
          <t>AICrayons</t>
        </is>
      </c>
      <c r="B4" s="116" t="inlineStr">
        <is>
          <t>https://aicrayons.fr/</t>
        </is>
      </c>
      <c r="C4" s="116" t="inlineStr">
        <is>
          <t>France / français</t>
        </is>
      </c>
      <c r="D4" s="116" t="inlineStr">
        <is>
          <t>Oui - acteur local</t>
        </is>
      </c>
      <c r="E4" s="116" t="inlineStr">
        <is>
          <t>Carnets physiques et PDF kawaii, chibi, cosy, fantasy et grayscale.</t>
        </is>
      </c>
      <c r="F4" s="116" t="inlineStr">
        <is>
          <t>Très proche</t>
        </is>
      </c>
      <c r="G4" s="116" t="inlineStr">
        <is>
          <t>13,90 EUR le carnet spiralé observé</t>
        </is>
      </c>
      <c r="H4" s="116" t="inlineStr">
        <is>
          <t>Catalogue étoffé, CGV et retours structurés; peu d'avis visibles.</t>
        </is>
      </c>
      <c r="I4" s="116" t="inlineStr">
        <is>
          <t>Livraison locale, physique + numérique, papier 120 g, prix accessible.</t>
        </is>
      </c>
      <c r="J4" s="116" t="inlineStr">
        <is>
          <t>Univers graphique dispersé et peu incarné.</t>
        </is>
      </c>
      <c r="K4" s="116" t="inlineStr">
        <is>
          <t>Construire une marque kawaii cohérente avec mascottes et preuves de qualité.</t>
        </is>
      </c>
      <c r="L4" s="116" t="inlineStr">
        <is>
          <t>https://aicrayons.fr/produit/carnet-a-spirale-les-zanimaux-kawaii/</t>
        </is>
      </c>
      <c r="M4" s="116" t="inlineStr">
        <is>
          <t>Haute</t>
        </is>
      </c>
      <c r="N4" s="56" t="inlineStr">
        <is>
          <t>2026-07-10</t>
        </is>
      </c>
    </row>
    <row r="5">
      <c r="A5" s="57" t="inlineStr">
        <is>
          <t>MyCuttieBox</t>
        </is>
      </c>
      <c r="B5" s="117" t="inlineStr">
        <is>
          <t>https://mycuttiebox.fr/</t>
        </is>
      </c>
      <c r="C5" s="117" t="inlineStr">
        <is>
          <t>France / français</t>
        </is>
      </c>
      <c r="D5" s="117" t="inlineStr">
        <is>
          <t>Oui - acteur local</t>
        </is>
      </c>
      <c r="E5" s="117" t="inlineStr">
        <is>
          <t>Box cosy avec carnet, marqueur blanc, bougie, stickers et bijou de sac.</t>
        </is>
      </c>
      <c r="F5" s="117" t="inlineStr">
        <is>
          <t>Concept extrêmement proche</t>
        </is>
      </c>
      <c r="G5" s="117" t="inlineStr">
        <is>
          <t>24,90-29,90 EUR la box</t>
        </is>
      </c>
      <c r="H5" s="117" t="inlineStr">
        <is>
          <t>Première édition en précommande; bonus limité aux premières commandes.</t>
        </is>
      </c>
      <c r="I5" s="117" t="inlineStr">
        <is>
          <t>Concept cadeau, panier moyen supérieur, mascottes et illustrations propriétaires.</t>
        </is>
      </c>
      <c r="J5" s="117" t="inlineStr">
        <is>
          <t>Faible profondeur de catalogue, logistique de box, offre encore saisonnière.</t>
        </is>
      </c>
      <c r="K5" s="117" t="inlineStr">
        <is>
          <t>Déployer des collections permanentes et des kits personnalisables.</t>
        </is>
      </c>
      <c r="L5" s="117" t="inlineStr">
        <is>
          <t>https://mycuttiebox.fr/precommande/product-box-cosy-page</t>
        </is>
      </c>
      <c r="M5" s="117" t="inlineStr">
        <is>
          <t>Haute</t>
        </is>
      </c>
      <c r="N5" s="59" t="inlineStr">
        <is>
          <t>2026-07-10</t>
        </is>
      </c>
    </row>
    <row r="6">
      <c r="A6" s="57" t="inlineStr">
        <is>
          <t>Nippon Kawaii</t>
        </is>
      </c>
      <c r="B6" s="117" t="inlineStr">
        <is>
          <t>https://www.nipponkawaii.nl/en/</t>
        </is>
      </c>
      <c r="C6" s="117" t="inlineStr">
        <is>
          <t>Pays-Bas / NL-EN-DE</t>
        </is>
      </c>
      <c r="D6" s="117" t="inlineStr">
        <is>
          <t>Oui - expédition UE</t>
        </is>
      </c>
      <c r="E6" s="117" t="inlineStr">
        <is>
          <t>Boutique kawaii avec livres cosy, peluches, papeterie et accessoires.</t>
        </is>
      </c>
      <c r="F6" s="117" t="inlineStr">
        <is>
          <t>Proche - coloriage secondaire</t>
        </is>
      </c>
      <c r="G6" s="117" t="inlineStr">
        <is>
          <t>Livraison France affichée à partir de 9,99 EUR</t>
        </is>
      </c>
      <c r="H6" s="117" t="inlineStr">
        <is>
          <t>Depuis 2016, 540+ avis et note annoncée de 9,8/10.</t>
        </is>
      </c>
      <c r="I6" s="117" t="inlineStr">
        <is>
          <t>Confiance, stock UE, licences officielles, expédition rapide et cross-sell.</t>
        </is>
      </c>
      <c r="J6" s="117" t="inlineStr">
        <is>
          <t>Peu de livres cosy, ruptures et aucune localisation française.</t>
        </is>
      </c>
      <c r="K6" s="117" t="inlineStr">
        <is>
          <t>Proposer plus de profondeur, du SEO français et des bundles spécialisés.</t>
        </is>
      </c>
      <c r="L6" s="117" t="inlineStr">
        <is>
          <t>https://www.nipponkawaii.nl/en/collections/cozy-coloring-books-1</t>
        </is>
      </c>
      <c r="M6" s="117" t="inlineStr">
        <is>
          <t>Moyenne</t>
        </is>
      </c>
      <c r="N6" s="59" t="inlineStr">
        <is>
          <t>2026-07-10</t>
        </is>
      </c>
    </row>
    <row r="7">
      <c r="A7" s="57" t="inlineStr">
        <is>
          <t>Cozykleuren.nl</t>
        </is>
      </c>
      <c r="B7" s="117" t="inlineStr">
        <is>
          <t>https://cozykleuren.nl/</t>
        </is>
      </c>
      <c r="C7" s="117" t="inlineStr">
        <is>
          <t>Pays-Bas / néerlandais</t>
        </is>
      </c>
      <c r="D7" s="117" t="inlineStr">
        <is>
          <t>France sélectionnable; tarif à confirmer</t>
        </is>
      </c>
      <c r="E7" s="117" t="inlineStr">
        <is>
          <t>Livres cosy, marqueurs alcool, crayons et accessoires de protection.</t>
        </is>
      </c>
      <c r="F7" s="117" t="inlineStr">
        <is>
          <t>Coloriage pur</t>
        </is>
      </c>
      <c r="G7" s="117" t="inlineStr">
        <is>
          <t>N/D pour la France</t>
        </is>
      </c>
      <c r="H7" s="117" t="inlineStr">
        <is>
          <t>Équipe de quatre, entrepôt, société et TVA affichés.</t>
        </is>
      </c>
      <c r="I7" s="117" t="inlineStr">
        <is>
          <t>Arborescence aboutie, assortiment livres + consommables, hausse de panier.</t>
        </is>
      </c>
      <c r="J7" s="117" t="inlineStr">
        <is>
          <t>Pas de français, livraison France peu claire et ruptures visibles.</t>
        </is>
      </c>
      <c r="K7" s="117" t="inlineStr">
        <is>
          <t>Répliquer le modèle catalogue en version française avec stock fiable.</t>
        </is>
      </c>
      <c r="L7" s="117" t="inlineStr">
        <is>
          <t>https://cozykleuren.nl/pages/over-ons</t>
        </is>
      </c>
      <c r="M7" s="117" t="inlineStr">
        <is>
          <t>Moyenne</t>
        </is>
      </c>
      <c r="N7" s="59" t="inlineStr">
        <is>
          <t>2026-07-10</t>
        </is>
      </c>
    </row>
    <row r="8">
      <c r="A8" s="57" t="inlineStr">
        <is>
          <t>Bobbie Goods</t>
        </is>
      </c>
      <c r="B8" s="117" t="inlineStr">
        <is>
          <t>https://bobbiegoods.com/</t>
        </is>
      </c>
      <c r="C8" s="117" t="inlineStr">
        <is>
          <t>États-Unis / anglais</t>
        </is>
      </c>
      <c r="D8" s="117" t="inlineStr">
        <is>
          <t>Oui - international</t>
        </is>
      </c>
      <c r="E8" s="117" t="inlineStr">
        <is>
          <t>Livres premium et accessoires autour de personnages propriétaires.</t>
        </is>
      </c>
      <c r="F8" s="117" t="inlineStr">
        <is>
          <t>Pur cute/cozy coloring</t>
        </is>
      </c>
      <c r="G8" s="117" t="inlineStr">
        <is>
          <t>22 USD le livre observé</t>
        </is>
      </c>
      <c r="H8" s="117" t="inlineStr">
        <is>
          <t>Marque familiale depuis 2021; une référence à 584 avis, 98% positifs.</t>
        </is>
      </c>
      <c r="I8" s="117" t="inlineStr">
        <is>
          <t>Univers reconnaissable, rareté, papier épais et communauté forte.</t>
        </is>
      </c>
      <c r="J8" s="117" t="inlineStr">
        <is>
          <t>Frais, douane et délais internationaux; peu de pages par livre.</t>
        </is>
      </c>
      <c r="K8" s="117" t="inlineStr">
        <is>
          <t>Qualité comparable avec stock UE et prix livré inférieur.</t>
        </is>
      </c>
      <c r="L8" s="117" t="inlineStr">
        <is>
          <t>https://bobbiegoods.com/products/this-n-that-coloring-book</t>
        </is>
      </c>
      <c r="M8" s="117" t="inlineStr">
        <is>
          <t>Moyenne</t>
        </is>
      </c>
      <c r="N8" s="59" t="inlineStr">
        <is>
          <t>2026-07-10</t>
        </is>
      </c>
    </row>
    <row r="9">
      <c r="A9" s="57" t="inlineStr">
        <is>
          <t>Belly Bean Co.</t>
        </is>
      </c>
      <c r="B9" s="117" t="inlineStr">
        <is>
          <t>https://bellybeanco.com/</t>
        </is>
      </c>
      <c r="C9" s="117" t="inlineStr">
        <is>
          <t>Canada / anglais + éditions françaises</t>
        </is>
      </c>
      <c r="D9" s="117" t="inlineStr">
        <is>
          <t>Oui - international</t>
        </is>
      </c>
      <c r="E9" s="117" t="inlineStr">
        <is>
          <t>Livres physiques et PDF cute/cozy, éditions françaises et livres techniques.</t>
        </is>
      </c>
      <c r="F9" s="117" t="inlineStr">
        <is>
          <t>Pur cute/cozy coloring</t>
        </is>
      </c>
      <c r="G9" s="117" t="inlineStr">
        <is>
          <t>12-29 CAD; éditions françaises autour de 16 CAD</t>
        </is>
      </c>
      <c r="H9" s="117" t="inlineStr">
        <is>
          <t>Catalogue profond, collaboration éditoriale et présence sur cinq réseaux.</t>
        </is>
      </c>
      <c r="I9" s="117" t="inlineStr">
        <is>
          <t>Éditions françaises, papier premium, thèmes et formats variés.</t>
        </is>
      </c>
      <c r="J9" s="117" t="inlineStr">
        <is>
          <t>Expédition canadienne coûteuse et quelques affichages produit confus.</t>
        </is>
      </c>
      <c r="K9" s="117" t="inlineStr">
        <is>
          <t>Faire mieux sur le coût rendu, le stock UE et la clarté du catalogue.</t>
        </is>
      </c>
      <c r="L9" s="117" t="inlineStr">
        <is>
          <t>https://bellybeanco.com/</t>
        </is>
      </c>
      <c r="M9" s="117" t="inlineStr">
        <is>
          <t>Haute</t>
        </is>
      </c>
      <c r="N9" s="59" t="inlineStr">
        <is>
          <t>2026-07-10</t>
        </is>
      </c>
    </row>
    <row r="10">
      <c r="A10" s="57" t="inlineStr">
        <is>
          <t>Chloe &amp; Maisy Co.</t>
        </is>
      </c>
      <c r="B10" s="117" t="inlineStr">
        <is>
          <t>https://chloeandmaisy.com/</t>
        </is>
      </c>
      <c r="C10" s="117" t="inlineStr">
        <is>
          <t>États-Unis / anglais</t>
        </is>
      </c>
      <c r="D10" s="117" t="inlineStr">
        <is>
          <t>Oui - livraison mondiale annoncée</t>
        </is>
      </c>
      <c r="E10" s="117" t="inlineStr">
        <is>
          <t>Livres et PDF autour de deux personnages propriétaires, plus protège-pages.</t>
        </is>
      </c>
      <c r="F10" s="117" t="inlineStr">
        <is>
          <t>Pur cute/cozy coloring</t>
        </is>
      </c>
      <c r="G10" s="117" t="inlineStr">
        <is>
          <t>22,99 USD le livre; bundle autour de 62,99 USD</t>
        </is>
      </c>
      <c r="H10" s="117" t="inlineStr">
        <is>
          <t>Environ 120 avis visibles, galerie clients et vente exclusivement directe.</t>
        </is>
      </c>
      <c r="I10" s="117" t="inlineStr">
        <is>
          <t>Personnages propriétaires, papier premium et storytelling fort.</t>
        </is>
      </c>
      <c r="J10" s="117" t="inlineStr">
        <is>
          <t>Catalogue étroit, anglais et droits de douane potentiels.</t>
        </is>
      </c>
      <c r="K10" s="117" t="inlineStr">
        <is>
          <t>Créer un univers propriétaire francophone avec davantage de collections.</t>
        </is>
      </c>
      <c r="L10" s="117" t="inlineStr">
        <is>
          <t>https://chloeandmaisy.com/pages/faq</t>
        </is>
      </c>
      <c r="M10" s="117" t="inlineStr">
        <is>
          <t>Moyenne</t>
        </is>
      </c>
      <c r="N10" s="59" t="inlineStr">
        <is>
          <t>2026-07-10</t>
        </is>
      </c>
    </row>
    <row r="11">
      <c r="A11" s="57" t="inlineStr">
        <is>
          <t>Giggles &amp; Grace Books</t>
        </is>
      </c>
      <c r="B11" s="117" t="inlineStr">
        <is>
          <t>https://www.gigglesandgracebooks.com/</t>
        </is>
      </c>
      <c r="C11" s="117" t="inlineStr">
        <is>
          <t>États-Unis / anglais</t>
        </is>
      </c>
      <c r="D11" s="117" t="inlineStr">
        <is>
          <t>Oui - livraison mondiale annoncée</t>
        </is>
      </c>
      <c r="E11" s="117" t="inlineStr">
        <is>
          <t>25+ éditions revendiquées, livres physiques, PDF, personnalisation et B2B.</t>
        </is>
      </c>
      <c r="F11" s="117" t="inlineStr">
        <is>
          <t>Coloriage pur</t>
        </is>
      </c>
      <c r="G11" s="117" t="inlineStr">
        <is>
          <t>7,99-12,99 USD physique; 1,99-2,99 USD PDF</t>
        </is>
      </c>
      <c r="H11" s="117" t="inlineStr">
        <is>
          <t>Catalogue profond, portail wholesale et papier 120 g.</t>
        </is>
      </c>
      <c r="I11" s="117" t="inlineStr">
        <is>
          <t>Prix, profondeur, personnalisation et offre professionnelle.</t>
        </is>
      </c>
      <c r="J11" s="117" t="inlineStr">
        <is>
          <t>Quelques incohérences visibles dans les chiffres marketing et les avis.</t>
        </is>
      </c>
      <c r="K11" s="117" t="inlineStr">
        <is>
          <t>Combiner profondeur catalogue et preuves de confiance plus solides.</t>
        </is>
      </c>
      <c r="L11" s="117" t="inlineStr">
        <is>
          <t>https://www.gigglesandgracebooks.com/</t>
        </is>
      </c>
      <c r="M11" s="117" t="inlineStr">
        <is>
          <t>Moyenne</t>
        </is>
      </c>
      <c r="N11" s="59" t="inlineStr">
        <is>
          <t>2026-07-10</t>
        </is>
      </c>
    </row>
    <row r="12">
      <c r="A12" s="57" t="inlineStr">
        <is>
          <t>Amélie's Workshop</t>
        </is>
      </c>
      <c r="B12" s="117" t="inlineStr">
        <is>
          <t>https://ameliesworkshop.fr/en</t>
        </is>
      </c>
      <c r="C12" s="117" t="inlineStr">
        <is>
          <t>France / français-anglais</t>
        </is>
      </c>
      <c r="D12" s="117" t="inlineStr">
        <is>
          <t>Oui - expédition locale</t>
        </is>
      </c>
      <c r="E12" s="117" t="inlineStr">
        <is>
          <t>Livres kawaii/cozy sur le Japon, stickers, marque-pages et carnets.</t>
        </is>
      </c>
      <c r="F12" s="117" t="inlineStr">
        <is>
          <t>Proche - papeterie élargie</t>
        </is>
      </c>
      <c r="G12" s="117" t="inlineStr">
        <is>
          <t>9,95-18 EUR les livres observés</t>
        </is>
      </c>
      <c r="H12" s="117" t="inlineStr">
        <is>
          <t>Entreprise indépendante depuis 2017, expédition annoncée en 3-4 jours.</t>
        </is>
      </c>
      <c r="I12" s="117" t="inlineStr">
        <is>
          <t>Univers d'illustratrice, collections saisonnières et logistique locale.</t>
        </is>
      </c>
      <c r="J12" s="117" t="inlineStr">
        <is>
          <t>Le catalogue de papeterie dilue la spécialisation coloriage.</t>
        </is>
      </c>
      <c r="K12" s="117" t="inlineStr">
        <is>
          <t>Être plus profond sur le coloriage et structurer les thèmes en collections SEO.</t>
        </is>
      </c>
      <c r="L12" s="117" t="inlineStr">
        <is>
          <t>https://ameliesworkshop.fr/en</t>
        </is>
      </c>
      <c r="M12" s="117" t="inlineStr">
        <is>
          <t>Moyenne</t>
        </is>
      </c>
      <c r="N12" s="59" t="inlineStr">
        <is>
          <t>2026-07-10</t>
        </is>
      </c>
    </row>
    <row r="13">
      <c r="A13" s="57" t="inlineStr">
        <is>
          <t>Whimsy Tales</t>
        </is>
      </c>
      <c r="B13" s="117" t="inlineStr">
        <is>
          <t>https://whimsytales.com/</t>
        </is>
      </c>
      <c r="C13" s="117" t="inlineStr">
        <is>
          <t>Indonésie/Canada / anglais</t>
        </is>
      </c>
      <c r="D13" s="117" t="inlineStr">
        <is>
          <t>Numérique; pas de physique sur le site</t>
        </is>
      </c>
      <c r="E13" s="117" t="inlineStr">
        <is>
          <t>Références numériques kawaii/fantasy, blog SEO, échantillons et newsletter.</t>
        </is>
      </c>
      <c r="F13" s="117" t="inlineStr">
        <is>
          <t>Proche - numérique</t>
        </is>
      </c>
      <c r="G13" s="117" t="inlineStr">
        <is>
          <t>7-18 CAD sur les références observées</t>
        </is>
      </c>
      <c r="H13" s="117" t="inlineStr">
        <is>
          <t>Environ 19 références et narration de marque structurée.</t>
        </is>
      </c>
      <c r="I13" s="117" t="inlineStr">
        <is>
          <t>Illustrations originales, contenu organique et acquisition par échantillons.</t>
        </is>
      </c>
      <c r="J13" s="117" t="inlineStr">
        <is>
          <t>Aucun produit physique expédié depuis le domaine.</t>
        </is>
      </c>
      <c r="K13" s="117" t="inlineStr">
        <is>
          <t>Occuper le physique et les bundles tout en gardant une stratégie de contenu.</t>
        </is>
      </c>
      <c r="L13" s="117" t="inlineStr">
        <is>
          <t>https://whimsytales.com/policies/shipping-policy</t>
        </is>
      </c>
      <c r="M13" s="117" t="inlineStr">
        <is>
          <t>Faible</t>
        </is>
      </c>
      <c r="N13" s="59" t="inlineStr">
        <is>
          <t>2026-07-10</t>
        </is>
      </c>
    </row>
    <row r="14">
      <c r="A14" s="57" t="inlineStr">
        <is>
          <t>Bloom &amp; Bolt</t>
        </is>
      </c>
      <c r="B14" s="117" t="inlineStr">
        <is>
          <t>https://bloomandboltcoloring.com/</t>
        </is>
      </c>
      <c r="C14" s="117" t="inlineStr">
        <is>
          <t>États-Unis probable / anglais</t>
        </is>
      </c>
      <c r="D14" s="117" t="inlineStr">
        <is>
          <t>Oui - international au checkout</t>
        </is>
      </c>
      <c r="E14" s="117" t="inlineStr">
        <is>
          <t>Livres spiralés premium, PDF, bundles et pinces de maintien.</t>
        </is>
      </c>
      <c r="F14" s="117" t="inlineStr">
        <is>
          <t>Pur cozy coloring</t>
        </is>
      </c>
      <c r="G14" s="117" t="inlineStr">
        <is>
          <t>22,99-24,99 USD physique; 5 USD PDF</t>
        </is>
      </c>
      <c r="H14" s="117" t="inlineStr">
        <is>
          <t>Marque émergente, cinq livres physiques, six numériques et peu d'avis.</t>
        </is>
      </c>
      <c r="I14" s="117" t="inlineStr">
        <is>
          <t>Papier épais, reliure à plat, accessoires utiles et bundles.</t>
        </is>
      </c>
      <c r="J14" s="117" t="inlineStr">
        <is>
          <t>Prix livré élevé pour la France et preuve sociale faible.</t>
        </is>
      </c>
      <c r="K14" s="117" t="inlineStr">
        <is>
          <t>Reprendre les bénéfices d'usage avec une livraison européenne.</t>
        </is>
      </c>
      <c r="L14" s="117" t="inlineStr">
        <is>
          <t>https://bloomandboltcoloring.com/pages/faq</t>
        </is>
      </c>
      <c r="M14" s="117" t="inlineStr">
        <is>
          <t>Faible</t>
        </is>
      </c>
      <c r="N14" s="59" t="inlineStr">
        <is>
          <t>2026-07-10</t>
        </is>
      </c>
    </row>
    <row r="15">
      <c r="A15" s="57" t="inlineStr">
        <is>
          <t>Ruth's Coloring</t>
        </is>
      </c>
      <c r="B15" s="117" t="inlineStr">
        <is>
          <t>https://ruthscoloring.com/</t>
        </is>
      </c>
      <c r="C15" s="117" t="inlineStr">
        <is>
          <t>États-Unis / anglais</t>
        </is>
      </c>
      <c r="D15" s="117" t="inlineStr">
        <is>
          <t>Numérique uniquement observé</t>
        </is>
      </c>
      <c r="E15" s="117" t="inlineStr">
        <is>
          <t>PDF quirky cute, animaux, cartes et scènes cosy aux lignes épaisses.</t>
        </is>
      </c>
      <c r="F15" s="117" t="inlineStr">
        <is>
          <t>Très proche - numérique</t>
        </is>
      </c>
      <c r="G15" s="117" t="inlineStr">
        <is>
          <t>3-8 USD le PDF</t>
        </is>
      </c>
      <c r="H15" s="117" t="inlineStr">
        <is>
          <t>Micro-marque d'illustratrice, catalogue profond et présence sociale.</t>
        </is>
      </c>
      <c r="I15" s="117" t="inlineStr">
        <is>
          <t>Identité d'artiste, marges du numérique, thèmes variés et freebies.</t>
        </is>
      </c>
      <c r="J15" s="117" t="inlineStr">
        <is>
          <t>Pas d'offre physique trouvée et univers moins homogène.</t>
        </is>
      </c>
      <c r="K15" s="117" t="inlineStr">
        <is>
          <t>Décliner les thèmes gagnants en livres et kits physiques français.</t>
        </is>
      </c>
      <c r="L15" s="117" t="inlineStr">
        <is>
          <t>https://ruthscoloring.com/collections/digital-downloads</t>
        </is>
      </c>
      <c r="M15" s="117" t="inlineStr">
        <is>
          <t>Faible</t>
        </is>
      </c>
      <c r="N15" s="59" t="inlineStr">
        <is>
          <t>2026-07-10</t>
        </is>
      </c>
    </row>
    <row r="16">
      <c r="A16" s="57" t="inlineStr">
        <is>
          <t>Berrie Coloring</t>
        </is>
      </c>
      <c r="B16" s="117" t="inlineStr">
        <is>
          <t>https://berriecoloring.com/</t>
        </is>
      </c>
      <c r="C16" s="117" t="inlineStr">
        <is>
          <t>Pays non affiché / anglais</t>
        </is>
      </c>
      <c r="D16" s="117" t="inlineStr">
        <is>
          <t>Numérique oui; physique non confirmé</t>
        </is>
      </c>
      <c r="E16" s="117" t="inlineStr">
        <is>
          <t>Séries cute &amp; cozy, saisons, voyage, fantasy et calendrier.</t>
        </is>
      </c>
      <c r="F16" s="117" t="inlineStr">
        <is>
          <t>Pur cute/cozy</t>
        </is>
      </c>
      <c r="G16" s="117" t="inlineStr">
        <is>
          <t>9,99 USD sur les séries observées</t>
        </is>
      </c>
      <c r="H16" s="117" t="inlineStr">
        <is>
          <t>Catalogue structuré en 16 produits; plusieurs physiques épuisés.</t>
        </is>
      </c>
      <c r="I16" s="117" t="inlineStr">
        <is>
          <t>Système de collections répétable et identité reconnaissable.</t>
        </is>
      </c>
      <c r="J16" s="117" t="inlineStr">
        <is>
          <t>Stock physique faible et livraison peu transparente.</t>
        </is>
      </c>
      <c r="K16" s="117" t="inlineStr">
        <is>
          <t>Stock européen fiable et bundles avec feutres.</t>
        </is>
      </c>
      <c r="L16" s="117" t="inlineStr">
        <is>
          <t>https://berriecoloring.com/collections/all</t>
        </is>
      </c>
      <c r="M16" s="117" t="inlineStr">
        <is>
          <t>Faible</t>
        </is>
      </c>
      <c r="N16" s="59" t="inlineStr">
        <is>
          <t>2026-07-10</t>
        </is>
      </c>
    </row>
    <row r="17">
      <c r="A17" s="60" t="inlineStr">
        <is>
          <t>Kawaii Sprouts</t>
        </is>
      </c>
      <c r="B17" s="118" t="inlineStr">
        <is>
          <t>https://www.kawaiisprouts.com/</t>
        </is>
      </c>
      <c r="C17" s="118" t="inlineStr">
        <is>
          <t>Pays non affiché / anglais</t>
        </is>
      </c>
      <c r="D17" s="118" t="inlineStr">
        <is>
          <t>Expédition mondiale annoncée</t>
        </is>
      </c>
      <c r="E17" s="118" t="inlineStr">
        <is>
          <t>Personnages originaux, livre principal et petits packs numériques.</t>
        </is>
      </c>
      <c r="F17" s="118" t="inlineStr">
        <is>
          <t>Kawaii pur</t>
        </is>
      </c>
      <c r="G17" s="118" t="inlineStr">
        <is>
          <t>2,99-5,99 USD sur les petits packs</t>
        </is>
      </c>
      <c r="H17" s="118" t="inlineStr">
        <is>
          <t>Très petite marque, catalogue court et peu de signaux de vente.</t>
        </is>
      </c>
      <c r="I17" s="118" t="inlineStr">
        <is>
          <t>Personnages propriétaires et prix d'entrée faible.</t>
        </is>
      </c>
      <c r="J17" s="118" t="inlineStr">
        <is>
          <t>Offre physique/PDF parfois ambiguë et expérience encore artisanale.</t>
        </is>
      </c>
      <c r="K17" s="118" t="inlineStr">
        <is>
          <t>Plus de transparence, fiches françaises et marque plus professionnelle.</t>
        </is>
      </c>
      <c r="L17" s="118" t="inlineStr">
        <is>
          <t>https://www.kawaiisprouts.com/products/kawaii-sprout-50-page-coloring-book</t>
        </is>
      </c>
      <c r="M17" s="118" t="inlineStr">
        <is>
          <t>Faible</t>
        </is>
      </c>
      <c r="N17" s="62" t="inlineStr">
        <is>
          <t>2026-07-10</t>
        </is>
      </c>
    </row>
    <row r="18">
      <c r="A18" s="117" t="n"/>
      <c r="B18" s="117" t="n"/>
      <c r="C18" s="117" t="n"/>
      <c r="D18" s="117" t="n"/>
      <c r="E18" s="117" t="n"/>
      <c r="F18" s="117" t="n"/>
      <c r="G18" s="117" t="n"/>
      <c r="H18" s="117" t="n"/>
      <c r="I18" s="117" t="n"/>
      <c r="J18" s="117" t="n"/>
      <c r="K18" s="117" t="n"/>
      <c r="L18" s="117" t="n"/>
      <c r="M18" s="117" t="n"/>
      <c r="N18" s="117" t="n"/>
    </row>
    <row r="19">
      <c r="A19" s="117" t="n"/>
      <c r="B19" s="117" t="n"/>
      <c r="C19" s="117" t="n"/>
      <c r="D19" s="117" t="n"/>
      <c r="E19" s="117" t="n"/>
      <c r="F19" s="117" t="n"/>
      <c r="G19" s="117" t="n"/>
      <c r="H19" s="117" t="n"/>
      <c r="I19" s="117" t="n"/>
      <c r="J19" s="117" t="n"/>
      <c r="K19" s="117" t="n"/>
      <c r="L19" s="117" t="n"/>
      <c r="M19" s="117" t="n"/>
      <c r="N19" s="117" t="n"/>
    </row>
    <row r="20">
      <c r="A20" s="142" t="inlineStr">
        <is>
          <t>Faux positifs exclus</t>
        </is>
      </c>
    </row>
    <row r="21">
      <c r="A21" s="135" t="inlineStr">
        <is>
          <t>Site</t>
        </is>
      </c>
      <c r="B21" s="136" t="inlineStr">
        <is>
          <t>URL</t>
        </is>
      </c>
      <c r="C21" s="137" t="inlineStr">
        <is>
          <t>Motif d'exclusion</t>
        </is>
      </c>
      <c r="D21" s="117" t="n"/>
      <c r="E21" s="117" t="n"/>
      <c r="F21" s="117" t="n"/>
      <c r="G21" s="117" t="n"/>
      <c r="H21" s="117" t="n"/>
      <c r="I21" s="117" t="n"/>
      <c r="J21" s="117" t="n"/>
      <c r="K21" s="117" t="n"/>
      <c r="L21" s="117" t="n"/>
      <c r="M21" s="117" t="n"/>
      <c r="N21" s="117" t="n"/>
    </row>
    <row r="22">
      <c r="A22" s="54" t="inlineStr">
        <is>
          <t>Coco Wyo</t>
        </is>
      </c>
      <c r="B22" s="116" t="inlineStr">
        <is>
          <t>https://cocowyo.com/pages/faq</t>
        </is>
      </c>
      <c r="C22" s="56" t="inlineStr">
        <is>
          <t>Le site officiel renvoie vers Amazon, Etsy ou TikTok Shop; pas de boutique DTC comparable.</t>
        </is>
      </c>
      <c r="D22" s="117" t="n"/>
      <c r="E22" s="117" t="n"/>
      <c r="F22" s="117" t="n"/>
      <c r="G22" s="117" t="n"/>
      <c r="H22" s="117" t="n"/>
      <c r="I22" s="117" t="n"/>
      <c r="J22" s="117" t="n"/>
      <c r="K22" s="117" t="n"/>
      <c r="L22" s="117" t="n"/>
      <c r="M22" s="117" t="n"/>
      <c r="N22" s="117" t="n"/>
    </row>
    <row r="23">
      <c r="A23" s="57" t="inlineStr">
        <is>
          <t>Didi Plums</t>
        </is>
      </c>
      <c r="B23" s="117" t="inlineStr">
        <is>
          <t>https://www.didiplums.com/paperbacks/cozy-worlds</t>
        </is>
      </c>
      <c r="C23" s="59" t="inlineStr">
        <is>
          <t>Les fiches observées renvoient vers Amazon pour l'achat.</t>
        </is>
      </c>
      <c r="D23" s="117" t="n"/>
      <c r="E23" s="117" t="n"/>
      <c r="F23" s="117" t="n"/>
      <c r="G23" s="117" t="n"/>
      <c r="H23" s="117" t="n"/>
      <c r="I23" s="117" t="n"/>
      <c r="J23" s="117" t="n"/>
      <c r="K23" s="117" t="n"/>
      <c r="L23" s="117" t="n"/>
      <c r="M23" s="117" t="n"/>
      <c r="N23" s="117" t="n"/>
    </row>
    <row r="24">
      <c r="A24" s="57" t="inlineStr">
        <is>
          <t>Colored Caramel</t>
        </is>
      </c>
      <c r="B24" s="117" t="inlineStr">
        <is>
          <t>https://www.coloredcaramel.com/about/</t>
        </is>
      </c>
      <c r="C24" s="59" t="inlineStr">
        <is>
          <t>Catalogue servant de passerelle vers des marketplaces.</t>
        </is>
      </c>
      <c r="D24" s="117" t="n"/>
      <c r="E24" s="117" t="n"/>
      <c r="F24" s="117" t="n"/>
      <c r="G24" s="117" t="n"/>
      <c r="H24" s="117" t="n"/>
      <c r="I24" s="117" t="n"/>
      <c r="J24" s="117" t="n"/>
      <c r="K24" s="117" t="n"/>
      <c r="L24" s="117" t="n"/>
      <c r="M24" s="117" t="n"/>
      <c r="N24" s="117" t="n"/>
    </row>
    <row r="25">
      <c r="A25" s="57" t="inlineStr">
        <is>
          <t>Kiki Coloring Studio</t>
        </is>
      </c>
      <c r="B25" s="117" t="inlineStr">
        <is>
          <t>https://www.kikicoloringstudio.nl/</t>
        </is>
      </c>
      <c r="C25" s="59" t="inlineStr">
        <is>
          <t>Micro-boutique pertinente mais vente directe limitée aux Pays-Bas.</t>
        </is>
      </c>
      <c r="D25" s="117" t="n"/>
      <c r="E25" s="117" t="n"/>
      <c r="F25" s="117" t="n"/>
      <c r="G25" s="117" t="n"/>
      <c r="H25" s="117" t="n"/>
      <c r="I25" s="117" t="n"/>
      <c r="J25" s="117" t="n"/>
      <c r="K25" s="117" t="n"/>
      <c r="L25" s="117" t="n"/>
      <c r="M25" s="117" t="n"/>
      <c r="N25" s="117" t="n"/>
    </row>
    <row r="26">
      <c r="A26" s="57" t="inlineStr">
        <is>
          <t>The Blue Lemon Studio</t>
        </is>
      </c>
      <c r="B26" s="117" t="inlineStr">
        <is>
          <t>https://www.thebluelemonstudio.com/</t>
        </is>
      </c>
      <c r="C26" s="59" t="inlineStr">
        <is>
          <t>Achat via Amazon et univers davantage architectural que kawaii.</t>
        </is>
      </c>
      <c r="D26" s="117" t="n"/>
      <c r="E26" s="117" t="n"/>
      <c r="F26" s="117" t="n"/>
      <c r="G26" s="117" t="n"/>
      <c r="H26" s="117" t="n"/>
      <c r="I26" s="117" t="n"/>
      <c r="J26" s="117" t="n"/>
      <c r="K26" s="117" t="n"/>
      <c r="L26" s="117" t="n"/>
      <c r="M26" s="117" t="n"/>
      <c r="N26" s="117" t="n"/>
    </row>
    <row r="27">
      <c r="A27" s="57" t="inlineStr">
        <is>
          <t>Aiko Miku</t>
        </is>
      </c>
      <c r="B27" s="117" t="inlineStr">
        <is>
          <t>https://aikomiku.de/</t>
        </is>
      </c>
      <c r="C27" s="59" t="inlineStr">
        <is>
          <t>Créatrice kawaii/chibi mais ventes identifiées via Amazon.</t>
        </is>
      </c>
      <c r="D27" s="117" t="n"/>
      <c r="E27" s="117" t="n"/>
      <c r="F27" s="117" t="n"/>
      <c r="G27" s="117" t="n"/>
      <c r="H27" s="117" t="n"/>
      <c r="I27" s="117" t="n"/>
      <c r="J27" s="117" t="n"/>
      <c r="K27" s="117" t="n"/>
      <c r="L27" s="117" t="n"/>
      <c r="M27" s="117" t="n"/>
      <c r="N27" s="117" t="n"/>
    </row>
    <row r="28">
      <c r="A28" s="57" t="inlineStr">
        <is>
          <t>OMY</t>
        </is>
      </c>
      <c r="B28" s="117" t="inlineStr">
        <is>
          <t>https://omy-maison.com/</t>
        </is>
      </c>
      <c r="C28" s="59" t="inlineStr">
        <is>
          <t>Marque de loisirs créatifs trop généraliste pour le périmètre mini-marque spécialisée.</t>
        </is>
      </c>
      <c r="D28" s="117" t="n"/>
      <c r="E28" s="117" t="n"/>
      <c r="F28" s="117" t="n"/>
      <c r="G28" s="117" t="n"/>
      <c r="H28" s="117" t="n"/>
      <c r="I28" s="117" t="n"/>
      <c r="J28" s="117" t="n"/>
      <c r="K28" s="117" t="n"/>
      <c r="L28" s="117" t="n"/>
      <c r="M28" s="117" t="n"/>
      <c r="N28" s="117" t="n"/>
    </row>
    <row r="29">
      <c r="A29" s="57" t="inlineStr">
        <is>
          <t>Vivi Tinta</t>
        </is>
      </c>
      <c r="B29" s="117" t="inlineStr">
        <is>
          <t>https://www.vivitinta.com/pages/fqas</t>
        </is>
      </c>
      <c r="C29" s="59" t="inlineStr">
        <is>
          <t>Le site officiel indique que les achats passent par Amazon.</t>
        </is>
      </c>
      <c r="D29" s="117" t="n"/>
      <c r="E29" s="117" t="n"/>
      <c r="F29" s="117" t="n"/>
      <c r="G29" s="117" t="n"/>
      <c r="H29" s="117" t="n"/>
      <c r="I29" s="117" t="n"/>
      <c r="J29" s="117" t="n"/>
      <c r="K29" s="117" t="n"/>
      <c r="L29" s="117" t="n"/>
      <c r="M29" s="117" t="n"/>
      <c r="N29" s="117" t="n"/>
    </row>
    <row r="30">
      <c r="A30" s="57" t="inlineStr">
        <is>
          <t>Willa Grimshaw</t>
        </is>
      </c>
      <c r="B30" s="117" t="inlineStr">
        <is>
          <t>https://willagrimshaw.com/</t>
        </is>
      </c>
      <c r="C30" s="59" t="inlineStr">
        <is>
          <t>Site vitrine conduisant vers Amazon ou Etsy.</t>
        </is>
      </c>
      <c r="D30" s="117" t="n"/>
      <c r="E30" s="117" t="n"/>
      <c r="F30" s="117" t="n"/>
      <c r="G30" s="117" t="n"/>
      <c r="H30" s="117" t="n"/>
      <c r="I30" s="117" t="n"/>
      <c r="J30" s="117" t="n"/>
      <c r="K30" s="117" t="n"/>
      <c r="L30" s="117" t="n"/>
      <c r="M30" s="117" t="n"/>
      <c r="N30" s="117" t="n"/>
    </row>
    <row r="31">
      <c r="A31" s="57" t="inlineStr">
        <is>
          <t>Selifu</t>
        </is>
      </c>
      <c r="B31" s="117" t="inlineStr">
        <is>
          <t>https://selifu.com/</t>
        </is>
      </c>
      <c r="C31" s="59" t="inlineStr">
        <is>
          <t>Site vitrine conduisant vers Amazon ou Etsy.</t>
        </is>
      </c>
      <c r="D31" s="117" t="n"/>
      <c r="E31" s="117" t="n"/>
      <c r="F31" s="117" t="n"/>
      <c r="G31" s="117" t="n"/>
      <c r="H31" s="117" t="n"/>
      <c r="I31" s="117" t="n"/>
      <c r="J31" s="117" t="n"/>
      <c r="K31" s="117" t="n"/>
      <c r="L31" s="117" t="n"/>
      <c r="M31" s="117" t="n"/>
      <c r="N31" s="117" t="n"/>
    </row>
    <row r="32">
      <c r="A32" s="60" t="inlineStr">
        <is>
          <t>Southern Lotus</t>
        </is>
      </c>
      <c r="B32" s="118" t="inlineStr">
        <is>
          <t>https://www.southernlotus.com/en/shipping-policy</t>
        </is>
      </c>
      <c r="C32" s="62" t="inlineStr">
        <is>
          <t>Boutique directe pertinente mais livraison France non confirmée.</t>
        </is>
      </c>
      <c r="D32" s="117" t="n"/>
      <c r="E32" s="117" t="n"/>
      <c r="F32" s="117" t="n"/>
      <c r="G32" s="117" t="n"/>
      <c r="H32" s="117" t="n"/>
      <c r="I32" s="117" t="n"/>
      <c r="J32" s="117" t="n"/>
      <c r="K32" s="117" t="n"/>
      <c r="L32" s="117" t="n"/>
      <c r="M32" s="117" t="n"/>
      <c r="N32" s="117" t="n"/>
    </row>
  </sheetData>
  <mergeCells count="3">
    <mergeCell ref="A20:N20"/>
    <mergeCell ref="A2:N2"/>
    <mergeCell ref="A1:N1"/>
  </mergeCells>
  <dataValidations count="1">
    <dataValidation sqref="M4:M17" showDropDown="0" showInputMessage="0" showErrorMessage="0" allowBlank="0" type="list">
      <formula1>"Haute,Moyenne,Faible"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78"/>
  <sheetViews>
    <sheetView showGridLines="0" workbookViewId="0">
      <selection activeCell="A1" sqref="A1"/>
    </sheetView>
  </sheetViews>
  <sheetFormatPr baseColWidth="8" defaultRowHeight="15"/>
  <cols>
    <col width="26" customWidth="1" style="111" min="1" max="1"/>
    <col width="28" customWidth="1" style="111" min="2" max="2"/>
    <col width="48" customWidth="1" style="111" min="3" max="3"/>
    <col width="70" customWidth="1" style="111" min="4" max="4"/>
    <col width="15" customWidth="1" style="111" min="5" max="5"/>
    <col width="15" customWidth="1" style="111" min="6" max="6"/>
    <col width="15" customWidth="1" style="111" min="7" max="7"/>
    <col width="15" customWidth="1" style="111" min="8" max="8"/>
    <col width="15" customWidth="1" style="111" min="9" max="9"/>
    <col width="12" customWidth="1" style="111" min="10" max="10"/>
    <col width="12" customWidth="1" style="111" min="11" max="11"/>
    <col width="28" customWidth="1" style="111" min="12" max="12"/>
    <col width="20" customWidth="1" style="111" min="13" max="13"/>
    <col width="20" customWidth="1" style="111" min="14" max="14"/>
    <col width="36" customWidth="1" style="111" min="15" max="15"/>
    <col width="36" customWidth="1" style="111" min="16" max="16"/>
    <col width="58" customWidth="1" style="111" min="17" max="17"/>
    <col width="14" customWidth="1" style="111" min="18" max="18"/>
    <col width="18" customWidth="1" style="111" min="19" max="19"/>
    <col width="48" customWidth="1" style="111" min="20" max="20"/>
    <col width="60" customWidth="1" style="111" min="21" max="21"/>
    <col width="42" customWidth="1" style="111" min="22" max="22"/>
    <col width="42" customWidth="1" style="111" min="23" max="23"/>
    <col width="34" customWidth="1" style="111" min="24" max="24"/>
    <col width="40" customWidth="1" style="111" min="25" max="25"/>
    <col width="70" customWidth="1" style="111" min="26" max="26"/>
  </cols>
  <sheetData>
    <row r="1" ht="34" customHeight="1" s="111">
      <c r="A1" s="133" t="inlineStr">
        <is>
          <t>Sourcing AliExpress - 5 produits à vérifier par collection</t>
        </is>
      </c>
    </row>
    <row r="2">
      <c r="A2" s="146" t="inlineStr">
        <is>
          <t>75 emplacements préparés. Les URL et métriques restent vides tant qu'elles ne proviennent pas d'un export AliExpress/DSers ou d'une liste de liens vérifiable.</t>
        </is>
      </c>
    </row>
    <row r="3">
      <c r="A3" s="135" t="inlineStr">
        <is>
          <t>ID</t>
        </is>
      </c>
      <c r="B3" s="136" t="inlineStr">
        <is>
          <t>Collection</t>
        </is>
      </c>
      <c r="C3" s="136" t="inlineStr">
        <is>
          <t>Produit</t>
        </is>
      </c>
      <c r="D3" s="136" t="inlineStr">
        <is>
          <t>URL AliExpress</t>
        </is>
      </c>
      <c r="E3" s="136" t="inlineStr">
        <is>
          <t>Prix produit EUR</t>
        </is>
      </c>
      <c r="F3" s="136" t="inlineStr">
        <is>
          <t>Livraison EUR</t>
        </is>
      </c>
      <c r="G3" s="136" t="inlineStr">
        <is>
          <t>Coût rendu EUR</t>
        </is>
      </c>
      <c r="H3" s="136" t="inlineStr">
        <is>
          <t>Prix cible EUR</t>
        </is>
      </c>
      <c r="I3" s="136" t="inlineStr">
        <is>
          <t>Marge x</t>
        </is>
      </c>
      <c r="J3" s="136" t="inlineStr">
        <is>
          <t>Note</t>
        </is>
      </c>
      <c r="K3" s="136" t="inlineStr">
        <is>
          <t>Commandes</t>
        </is>
      </c>
      <c r="L3" s="136" t="inlineStr">
        <is>
          <t>Boutique</t>
        </is>
      </c>
      <c r="M3" s="136" t="inlineStr">
        <is>
          <t>Délai France</t>
        </is>
      </c>
      <c r="N3" s="136" t="inlineStr">
        <is>
          <t>Choice / UE</t>
        </is>
      </c>
      <c r="O3" s="136" t="inlineStr">
        <is>
          <t>Variantes / lot</t>
        </is>
      </c>
      <c r="P3" s="136" t="inlineStr">
        <is>
          <t>Angle commercial</t>
        </is>
      </c>
      <c r="Q3" s="136" t="inlineStr">
        <is>
          <t>Risques / contrôles</t>
        </is>
      </c>
      <c r="R3" s="136" t="inlineStr">
        <is>
          <t>Verdict</t>
        </is>
      </c>
      <c r="S3" s="136" t="inlineStr">
        <is>
          <t>Date vérification</t>
        </is>
      </c>
      <c r="T3" s="137" t="inlineStr">
        <is>
          <t>Statut / source</t>
        </is>
      </c>
      <c r="U3" s="176" t="inlineStr">
        <is>
          <t>Prompts images (carrousel x5)</t>
        </is>
      </c>
      <c r="V3" s="176" t="inlineStr">
        <is>
          <t>Dossier images (base PNG)</t>
        </is>
      </c>
      <c r="W3" s="176" t="inlineStr">
        <is>
          <t>Titre SEO</t>
        </is>
      </c>
      <c r="X3" s="176" t="inlineStr">
        <is>
          <t>Meta title</t>
        </is>
      </c>
      <c r="Y3" s="176" t="inlineStr">
        <is>
          <t>Meta description</t>
        </is>
      </c>
      <c r="Z3" s="176" t="inlineStr">
        <is>
          <t>Description AIDA (HTML)</t>
        </is>
      </c>
    </row>
    <row r="4">
      <c r="A4" s="54" t="inlineStr">
        <is>
          <t>coloriage-kawaii-1</t>
        </is>
      </c>
      <c r="B4" s="116" t="inlineStr">
        <is>
          <t>coloriage kawaii</t>
        </is>
      </c>
      <c r="C4" s="116" t="inlineStr">
        <is>
          <t>Livre de coloriage magique à l'eau (enfant)</t>
        </is>
      </c>
      <c r="D4" s="116" t="inlineStr">
        <is>
          <t>https://fr.aliexpress.com/item/1005006861918127.html</t>
        </is>
      </c>
      <c r="E4" s="154" t="n">
        <v>4.19</v>
      </c>
      <c r="F4" s="154" t="n">
        <v>0</v>
      </c>
      <c r="G4" s="154">
        <f>IF(OR(E4="",F4=""),"",E4+F4)</f>
        <v/>
      </c>
      <c r="H4" s="154">
        <f>IFERROR(VLOOKUP(B4,'Collections'!$C$4:$L$18,10,FALSE),"")</f>
        <v/>
      </c>
      <c r="I4" s="159">
        <f>IFERROR(H4/G4,"")</f>
        <v/>
      </c>
      <c r="J4" s="160" t="n">
        <v>4.9</v>
      </c>
      <c r="K4" s="150" t="n">
        <v>10000</v>
      </c>
      <c r="L4" s="116" t="inlineStr">
        <is>
          <t>Choice — vendeur agrégé (non nominatif)</t>
        </is>
      </c>
      <c r="M4" s="116" t="inlineStr">
        <is>
          <t>16-19 juil. (~6-9 j)</t>
        </is>
      </c>
      <c r="N4" s="116" t="inlineStr">
        <is>
          <t>Choice</t>
        </is>
      </c>
      <c r="O4" s="116" t="inlineStr">
        <is>
          <t>1pc pen random (livre magique à l'eau)</t>
        </is>
      </c>
      <c r="P4" s="116" t="inlineStr">
        <is>
          <t>Coloriage à l'eau réutilisable &amp; sans tache — cadeau enfant / voyage</t>
        </is>
      </c>
      <c r="Q4" s="116" t="inlineStr">
        <is>
          <t>JOUET ENFANT : conformité CE/EN71 + GPSR requise ; avertissement suffocation (petites pièces, &lt;3 ans) ; exiger docs conformité fournisseur. Visuels génériques (OK licence).</t>
        </is>
      </c>
      <c r="R4" s="116" t="inlineStr">
        <is>
          <t>Retenir</t>
        </is>
      </c>
      <c r="S4" s="161" t="n">
        <v>46213</v>
      </c>
      <c r="T4" s="56" t="inlineStr">
        <is>
          <t>AliExpress Choice ; prix Deal du Jour (base 4,21€) ; livraison gratuite dès 10€ d'achat ; note agrégée multi-vendeurs ; JOUET CE/EN71/GPSR a valider avant lancement</t>
        </is>
      </c>
      <c r="U4" s="117" t="inlineStr">
        <is>
          <t>PACKSHOT — E-commerce hero packshot of the coloring book «Livre de coloriage magique à l'eau (enfant)», cover facing forward, centered on a clean seamless pastel background, soft studio shadow, ultra-sharp, soft pastel kawaii brand aesthetic, cohesive palette (blush pink, cream, mint, lilac), 1:1 square.
LIFESTYLE — Top-down flat-lay of «Livre de coloriage magique à l'eau (enfant)» on a cozy pastel desk with colored pencils, a warm drink and a small plush, soft natural morning light, hygge kawaii mood, soft pastel kawaii brand aesthetic, cohesive palette (blush pink, cream, mint, lilac), 1:1.
EN SITUATION — Close-up of a person's hands coloring a kawaii page from «Livre de coloriage magique à l'eau (enfant)», cozy blanket, shallow depth of field, warm soft tones.
DÉTAIL — Macro of the open inner pages of «Livre de coloriage magique à l'eau (enfant)» showing cute kawaii line-art illustrations, crisp lines, shallow depth of field.
FEATURE — Clean product feature image of «Livre de coloriage magique à l'eau (enfant)» standing upright with minimal text callouts (page count, thick paper, anti-stress), soft pastel kawaii brand aesthetic, cohesive palette (blush pink, cream, mint, lilac), generous negative space for headline.</t>
        </is>
      </c>
      <c r="V4" t="inlineStr">
        <is>
          <t>.../outputs/coloriage-kawaii-arborescence-2026-07-09/images_produits/04_coloriage-kawaii_1005006861918127</t>
        </is>
      </c>
      <c r="W4" t="inlineStr">
        <is>
          <t>Coloriage kawaii magique à l'eau (enfant) | [Marque]</t>
        </is>
      </c>
      <c r="X4" t="inlineStr">
        <is>
          <t>magique à l'eau (enfant) — coloriage kawaii | [Marque]</t>
        </is>
      </c>
      <c r="Y4" t="inlineStr">
        <is>
          <t>magique à l'eau (enfant) : détente kawaii, illustrations mignonnes. Livraison rapide, avis vérifiés. Commandez sur [Marque] !</t>
        </is>
      </c>
      <c r="Z4" s="117" t="inlineStr">
        <is>
          <t>&lt;div class="product-desc"&gt;
  &lt;p&gt;Coloriage kawaii &lt;strong&gt;« magique à l'eau (enfant) »&lt;/strong&gt; — détente kawaii, illustrations mignonnes.&lt;/p&gt;
  &lt;p&gt;&lt;strong&gt;Envie de déconnecter et de vous détendre un crayon à la main ?&lt;/strong&gt;&lt;/p&gt;
  &lt;h3&gt;✅ Une vraie parenthèse détente&lt;/h3&gt;
  &lt;p&gt;Ce livre de kawaii aide à relâcher la pression : on se concentre sur les couleurs, le mental se pose. Idéal le soir ou le week-end.&lt;/p&gt;
  &lt;h3&gt;✅ Des illustrations originales et mignonnes&lt;/h3&gt;
  &lt;p&gt;Des pages au style kawaii,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5">
      <c r="A5" s="57" t="inlineStr">
        <is>
          <t>coloriage-kawaii-2</t>
        </is>
      </c>
      <c r="B5" s="117" t="inlineStr">
        <is>
          <t>coloriage kawaii</t>
        </is>
      </c>
      <c r="C5" s="117" t="inlineStr">
        <is>
          <t>Livre de coloriage Cozy Japan (adulte, 28 p.)</t>
        </is>
      </c>
      <c r="D5" s="117" t="inlineStr">
        <is>
          <t>https://fr.aliexpress.com/item/1005009045159652.html</t>
        </is>
      </c>
      <c r="E5" s="156" t="n">
        <v>8.69</v>
      </c>
      <c r="F5" s="156" t="n">
        <v>0</v>
      </c>
      <c r="G5" s="156">
        <f>IF(OR(E5="",F5=""),"",E5+F5)</f>
        <v/>
      </c>
      <c r="H5" s="156">
        <f>IFERROR(VLOOKUP(B5,'Collections'!$C$4:$L$18,10,FALSE),"")</f>
        <v/>
      </c>
      <c r="I5" s="162">
        <f>IFERROR(H5/G5,"")</f>
        <v/>
      </c>
      <c r="J5" s="163" t="n">
        <v>4.9</v>
      </c>
      <c r="K5" s="151" t="n">
        <v>5000</v>
      </c>
      <c r="L5" s="117" t="inlineStr">
        <is>
          <t>Choice — vendeur agrégé</t>
        </is>
      </c>
      <c r="M5" s="117" t="inlineStr">
        <is>
          <t>16-19 juil. (~6-9 j)</t>
        </is>
      </c>
      <c r="N5" s="117" t="inlineStr">
        <is>
          <t>Choice</t>
        </is>
      </c>
      <c r="O5" s="117" t="inlineStr">
        <is>
          <t>Couleur Rose (28 pages)</t>
        </is>
      </c>
      <c r="P5" s="117" t="inlineStr">
        <is>
          <t>Coloriage anti-stress esthétique japonaise cozy — cadeau détente</t>
        </is>
      </c>
      <c r="Q5" s="117" t="inlineStr">
        <is>
          <t>Livre papier, visuels génériques (OK licence). Vérifier texte intérieur minimal (langue). Marge unité x2,9 (&lt;x3), x3,4 en lot ≥2.</t>
        </is>
      </c>
      <c r="R5" s="117" t="inlineStr">
        <is>
          <t>Retenir</t>
        </is>
      </c>
      <c r="S5" s="164" t="n">
        <v>46213</v>
      </c>
      <c r="T5" s="59" t="inlineStr">
        <is>
          <t>AliExpress Choice ; livraison gratuite dès 10€ ; 1119 avis ; note agrégée</t>
        </is>
      </c>
      <c r="U5" s="117" t="inlineStr">
        <is>
          <t>PACKSHOT — E-commerce hero packshot of the coloring book «Livre de coloriage Cozy Japan (adulte, 28 p.)», cover facing forward, centered on a clean seamless pastel background, soft studio shadow, ultra-sharp, soft pastel kawaii brand aesthetic, cohesive palette (blush pink, cream, mint, lilac), 1:1 square.
LIFESTYLE — Top-down flat-lay of «Livre de coloriage Cozy Japan (adulte, 28 p.)» on a cozy pastel desk with colored pencils, a warm drink and a small plush, soft natural morning light, hygge kawaii mood, soft pastel kawaii brand aesthetic, cohesive palette (blush pink, cream, mint, lilac), 1:1.
EN SITUATION — Close-up of a person's hands coloring a kawaii page from «Livre de coloriage Cozy Japan (adulte, 28 p.)», cozy blanket, shallow depth of field, warm soft tones.
DÉTAIL — Macro of the open inner pages of «Livre de coloriage Cozy Japan (adulte, 28 p.)» showing cute kawaii line-art illustrations, crisp lines, shallow depth of field.
FEATURE — Clean product feature image of «Livre de coloriage Cozy Japan (adulte, 28 p.)» standing upright with minimal text callouts (page count, thick paper, anti-stress), soft pastel kawaii brand aesthetic, cohesive palette (blush pink, cream, mint, lilac), generous negative space for headline.</t>
        </is>
      </c>
      <c r="V5" t="inlineStr">
        <is>
          <t>.../outputs/coloriage-kawaii-arborescence-2026-07-09/images_produits/05_coloriage-kawaii_1005009045159652</t>
        </is>
      </c>
      <c r="W5" t="inlineStr">
        <is>
          <t>Coloriage kawaii Cozy Japan (adulte, 28 p.) | [Marque]</t>
        </is>
      </c>
      <c r="X5" t="inlineStr">
        <is>
          <t>Cozy Japan (adulte, 28 p.) — coloriage kawaii | [Marque]</t>
        </is>
      </c>
      <c r="Y5" t="inlineStr">
        <is>
          <t>Cozy Japan (adulte, 28 p.) : détente kawaii, illustrations mignonnes. Livraison rapide, avis vérifiés. Commandez sur [Marque] !</t>
        </is>
      </c>
      <c r="Z5" s="117" t="inlineStr">
        <is>
          <t>&lt;div class="product-desc"&gt;
  &lt;p&gt;Coloriage kawaii &lt;strong&gt;« Cozy Japan (adulte, 28 p.) »&lt;/strong&gt; — détente kawaii, illustrations mignonnes.&lt;/p&gt;
  &lt;p&gt;&lt;strong&gt;Et si 15 minutes de coloriage remplaçaient le scroll du soir ?&lt;/strong&gt;&lt;/p&gt;
  &lt;h3&gt;✅ Une vraie parenthèse détente&lt;/h3&gt;
  &lt;p&gt;Ce livre de kawaii aide à relâcher la pression : on se concentre sur les couleurs, le mental se pose. Idéal le soir ou le week-end.&lt;/p&gt;
  &lt;h3&gt;✅ Des illustrations originales et mignonnes&lt;/h3&gt;
  &lt;p&gt;Des pages au style kawaii,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28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6">
      <c r="A6" s="57" t="inlineStr">
        <is>
          <t>coloriage-kawaii-3</t>
        </is>
      </c>
      <c r="B6" s="117" t="inlineStr">
        <is>
          <t>coloriage kawaii</t>
        </is>
      </c>
      <c r="C6" s="117" t="inlineStr">
        <is>
          <t>Livre aquarelle portable 12 feuilles + pinceau</t>
        </is>
      </c>
      <c r="D6" s="117" t="inlineStr">
        <is>
          <t>https://fr.aliexpress.com/item/1005006863919029.html</t>
        </is>
      </c>
      <c r="E6" s="156" t="n">
        <v>4.59</v>
      </c>
      <c r="F6" s="156" t="n">
        <v>0</v>
      </c>
      <c r="G6" s="156">
        <f>IF(OR(E6="",F6=""),"",E6+F6)</f>
        <v/>
      </c>
      <c r="H6" s="156">
        <f>IFERROR(VLOOKUP(B6,'Collections'!$C$4:$L$18,10,FALSE),"")</f>
        <v/>
      </c>
      <c r="I6" s="162">
        <f>IFERROR(H6/G6,"")</f>
        <v/>
      </c>
      <c r="J6" s="163" t="n">
        <v>4.9</v>
      </c>
      <c r="K6" s="151" t="n">
        <v>5000</v>
      </c>
      <c r="L6" s="117" t="inlineStr">
        <is>
          <t>Choice — vendeur agrégé</t>
        </is>
      </c>
      <c r="M6" s="117" t="inlineStr">
        <is>
          <t>13-25 juil. (~3-15 j)</t>
        </is>
      </c>
      <c r="N6" s="117" t="inlineStr">
        <is>
          <t>Choice</t>
        </is>
      </c>
      <c r="O6" s="117" t="inlineStr">
        <is>
          <t>Fairytale Dreams (8 thèmes fantasy)</t>
        </is>
      </c>
      <c r="P6" s="117" t="inlineStr">
        <is>
          <t>Aquarelle nomade tout-en-un, 8 univers — enfants / débutants</t>
        </is>
      </c>
      <c r="Q6" s="117" t="inlineStr">
        <is>
          <t>Livre papier + pinceau + pastilles aquarelle : vérifier REACH pigments (contact enfant). Visuels génériques (OK). Délai jusqu'à ~15 j.</t>
        </is>
      </c>
      <c r="R6" s="117" t="inlineStr">
        <is>
          <t>Retenir</t>
        </is>
      </c>
      <c r="S6" s="164" t="n">
        <v>46213</v>
      </c>
      <c r="T6" s="59" t="inlineStr">
        <is>
          <t>AliExpress Choice ; prix Deal du Jour (base 4,61€) ; livraison gratuite dès 10€ ; 635 avis</t>
        </is>
      </c>
      <c r="U6" s="117" t="inlineStr">
        <is>
          <t>PACKSHOT — E-commerce hero packshot of the coloring book «Livre aquarelle portable 12 feuilles + pinceau», cover facing forward, centered on a clean seamless pastel background, soft studio shadow, ultra-sharp, soft pastel kawaii brand aesthetic, cohesive palette (blush pink, cream, mint, lilac), 1:1 square.
LIFESTYLE — Top-down flat-lay of «Livre aquarelle portable 12 feuilles + pinceau» on a cozy pastel desk with colored pencils, a warm drink and a small plush, soft natural morning light, hygge kawaii mood, soft pastel kawaii brand aesthetic, cohesive palette (blush pink, cream, mint, lilac), 1:1.
EN SITUATION — Close-up of a person's hands coloring a kawaii page from «Livre aquarelle portable 12 feuilles + pinceau», cozy blanket, shallow depth of field, warm soft tones.
DÉTAIL — Macro of the open inner pages of «Livre aquarelle portable 12 feuilles + pinceau» showing cute kawaii line-art illustrations, crisp lines, shallow depth of field.
FEATURE — Clean product feature image of «Livre aquarelle portable 12 feuilles + pinceau» standing upright with minimal text callouts (page count, thick paper, anti-stress), soft pastel kawaii brand aesthetic, cohesive palette (blush pink, cream, mint, lilac), generous negative space for headline.</t>
        </is>
      </c>
      <c r="V6" t="inlineStr">
        <is>
          <t>.../outputs/coloriage-kawaii-arborescence-2026-07-09/images_produits/06_coloriage-kawaii_1005006863919029</t>
        </is>
      </c>
      <c r="W6" t="inlineStr">
        <is>
          <t>Coloriage kawaii aquarelle portable 12 feuilles + pinceau | [Marque]</t>
        </is>
      </c>
      <c r="X6" t="inlineStr">
        <is>
          <t>aquarelle portable 12 feuilles + pinceau — coloriage kawaii</t>
        </is>
      </c>
      <c r="Y6" t="inlineStr">
        <is>
          <t>aquarelle portable 12 feuilles + pinceau : détente kawaii, illustrations mignonnes. Livraison rapide, avis vérifiés. Commandez sur [Marque] !</t>
        </is>
      </c>
      <c r="Z6" s="117" t="inlineStr">
        <is>
          <t>&lt;div class="product-desc"&gt;
  &lt;p&gt;Coloriage kawaii &lt;strong&gt;« aquarelle portable 12 feuilles + pinceau »&lt;/strong&gt; — détente kawaii, illustrations mignonnes.&lt;/p&gt;
  &lt;p&gt;&lt;strong&gt;Besoin d'une pause créative, loin des écrans ?&lt;/strong&gt;&lt;/p&gt;
  &lt;h3&gt;✅ Une vraie parenthèse détente&lt;/h3&gt;
  &lt;p&gt;Ce livre de kawaii aide à relâcher la pression : on se concentre sur les couleurs, le mental se pose. Idéal le soir ou le week-end.&lt;/p&gt;
  &lt;h3&gt;✅ Des illustrations originales et mignonnes&lt;/h3&gt;
  &lt;p&gt;Des pages au style kawaii,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7">
      <c r="A7" s="57" t="inlineStr">
        <is>
          <t>coloriage-kawaii-4</t>
        </is>
      </c>
      <c r="B7" s="117" t="inlineStr">
        <is>
          <t>coloriage kawaii</t>
        </is>
      </c>
      <c r="C7" s="117" t="inlineStr">
        <is>
          <t>Livre de coloriage Cozy Europe (adulte, 28 p.)</t>
        </is>
      </c>
      <c r="D7" s="117" t="inlineStr">
        <is>
          <t>https://fr.aliexpress.com/item/1005010439423261.html</t>
        </is>
      </c>
      <c r="E7" s="156" t="n">
        <v>7.59</v>
      </c>
      <c r="F7" s="156" t="n">
        <v>0</v>
      </c>
      <c r="G7" s="156">
        <f>IF(OR(E7="",F7=""),"",E7+F7)</f>
        <v/>
      </c>
      <c r="H7" s="156">
        <f>IFERROR(VLOOKUP(B7,'Collections'!$C$4:$L$18,10,FALSE),"")</f>
        <v/>
      </c>
      <c r="I7" s="162">
        <f>IFERROR(H7/G7,"")</f>
        <v/>
      </c>
      <c r="J7" s="163" t="n">
        <v>4.9</v>
      </c>
      <c r="K7" s="151" t="n">
        <v>5000</v>
      </c>
      <c r="L7" s="117" t="inlineStr">
        <is>
          <t>Choice — vendeur agrégé</t>
        </is>
      </c>
      <c r="M7" s="117" t="inlineStr">
        <is>
          <t>16-19 juil. (~6-9 j)</t>
        </is>
      </c>
      <c r="N7" s="117" t="inlineStr">
        <is>
          <t>Choice</t>
        </is>
      </c>
      <c r="O7" s="117" t="inlineStr">
        <is>
          <t>Style 8 (28 pages)</t>
        </is>
      </c>
      <c r="P7" s="117" t="inlineStr">
        <is>
          <t>Coloriage cozy adulte, scènes européennes mignonnes — détente / cadeau</t>
        </is>
      </c>
      <c r="Q7" s="117" t="inlineStr">
        <is>
          <t>Livre papier, visuels génériques (OK licence). Vérifier texte intérieur minimal. Marge x3,3.</t>
        </is>
      </c>
      <c r="R7" s="117" t="inlineStr">
        <is>
          <t>Retenir</t>
        </is>
      </c>
      <c r="S7" s="164" t="n">
        <v>46213</v>
      </c>
      <c r="T7" s="59" t="inlineStr">
        <is>
          <t>AliExpress Choice ; livraison gratuite dès 10€ ; 733 avis ; note agrégée</t>
        </is>
      </c>
      <c r="U7" s="117" t="inlineStr">
        <is>
          <t>PACKSHOT — E-commerce hero packshot of the coloring book «Livre de coloriage Cozy Europe (adulte, 28 p.)», cover facing forward, centered on a clean seamless pastel background, soft studio shadow, ultra-sharp, soft pastel kawaii brand aesthetic, cohesive palette (blush pink, cream, mint, lilac), 1:1 square.
LIFESTYLE — Top-down flat-lay of «Livre de coloriage Cozy Europe (adulte, 28 p.)» on a cozy pastel desk with colored pencils, a warm drink and a small plush, soft natural morning light, hygge kawaii mood, soft pastel kawaii brand aesthetic, cohesive palette (blush pink, cream, mint, lilac), 1:1.
EN SITUATION — Close-up of a person's hands coloring a kawaii page from «Livre de coloriage Cozy Europe (adulte, 28 p.)», cozy blanket, shallow depth of field, warm soft tones.
DÉTAIL — Macro of the open inner pages of «Livre de coloriage Cozy Europe (adulte, 28 p.)» showing cute kawaii line-art illustrations, crisp lines, shallow depth of field.
FEATURE — Clean product feature image of «Livre de coloriage Cozy Europe (adulte, 28 p.)» standing upright with minimal text callouts (page count, thick paper, anti-stress), soft pastel kawaii brand aesthetic, cohesive palette (blush pink, cream, mint, lilac), generous negative space for headline.</t>
        </is>
      </c>
      <c r="V7" t="inlineStr">
        <is>
          <t>.../outputs/coloriage-kawaii-arborescence-2026-07-09/images_produits/07_coloriage-kawaii_1005010439423261</t>
        </is>
      </c>
      <c r="W7" t="inlineStr">
        <is>
          <t>Coloriage kawaii Cozy Europe (adulte, 28 p.) | [Marque]</t>
        </is>
      </c>
      <c r="X7" t="inlineStr">
        <is>
          <t>Cozy Europe (adulte, 28 p.) — coloriage kawaii | [Marque]</t>
        </is>
      </c>
      <c r="Y7" t="inlineStr">
        <is>
          <t>Cozy Europe (adulte, 28 p.) : détente kawaii, illustrations mignonnes. Livraison rapide, avis vérifiés. Commandez sur [Marque] !</t>
        </is>
      </c>
      <c r="Z7" s="117" t="inlineStr">
        <is>
          <t>&lt;div class="product-desc"&gt;
  &lt;p&gt;Coloriage kawaii &lt;strong&gt;« Cozy Europe (adulte, 28 p.) »&lt;/strong&gt; — détente kawaii, illustrations mignonnes.&lt;/p&gt;
  &lt;p&gt;&lt;strong&gt;Envie de déconnecter et de vous détendre un crayon à la main ?&lt;/strong&gt;&lt;/p&gt;
  &lt;h3&gt;✅ Une vraie parenthèse détente&lt;/h3&gt;
  &lt;p&gt;Ce livre de kawaii aide à relâcher la pression : on se concentre sur les couleurs, le mental se pose. Idéal le soir ou le week-end.&lt;/p&gt;
  &lt;h3&gt;✅ Des illustrations originales et mignonnes&lt;/h3&gt;
  &lt;p&gt;Des pages au style kawaii,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28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8">
      <c r="A8" s="57" t="inlineStr">
        <is>
          <t>coloriage-kawaii-5</t>
        </is>
      </c>
      <c r="B8" s="117" t="inlineStr">
        <is>
          <t>coloriage kawaii</t>
        </is>
      </c>
      <c r="C8" s="117" t="inlineStr">
        <is>
          <t>Livre de coloriage Cat Moments (adulte, chats)</t>
        </is>
      </c>
      <c r="D8" s="117" t="inlineStr">
        <is>
          <t>https://fr.aliexpress.com/item/1005009054606907.html</t>
        </is>
      </c>
      <c r="E8" s="156" t="n">
        <v>6.89</v>
      </c>
      <c r="F8" s="156" t="n">
        <v>0</v>
      </c>
      <c r="G8" s="156">
        <f>IF(OR(E8="",F8=""),"",E8+F8)</f>
        <v/>
      </c>
      <c r="H8" s="156">
        <f>IFERROR(VLOOKUP(B8,'Collections'!$C$4:$L$18,10,FALSE),"")</f>
        <v/>
      </c>
      <c r="I8" s="162">
        <f>IFERROR(H8/G8,"")</f>
        <v/>
      </c>
      <c r="J8" s="163" t="n">
        <v>4.9</v>
      </c>
      <c r="K8" s="151" t="n">
        <v>5000</v>
      </c>
      <c r="L8" s="117" t="inlineStr">
        <is>
          <t>Choice — vendeur agrégé</t>
        </is>
      </c>
      <c r="M8" s="117" t="inlineStr">
        <is>
          <t>16-19 juil. (~6-9 j)</t>
        </is>
      </c>
      <c r="N8" s="117" t="inlineStr">
        <is>
          <t>Choice</t>
        </is>
      </c>
      <c r="O8" s="117" t="inlineStr">
        <is>
          <t>style 13</t>
        </is>
      </c>
      <c r="P8" s="117" t="inlineStr">
        <is>
          <t>Pour amoureux des chats — coloriage relaxation, papier épais</t>
        </is>
      </c>
      <c r="Q8" s="117" t="inlineStr">
        <is>
          <t>Livre papier, visuels chats génériques (OK licence). Vérifier texte intérieur minimal. Marge x3,6.</t>
        </is>
      </c>
      <c r="R8" s="117" t="inlineStr">
        <is>
          <t>Retenir</t>
        </is>
      </c>
      <c r="S8" s="164" t="n">
        <v>46213</v>
      </c>
      <c r="T8" s="59" t="inlineStr">
        <is>
          <t>AliExpress Choice ; livraison gratuite dès 10€ ; 914 avis ; note agrégée</t>
        </is>
      </c>
      <c r="U8" s="117" t="inlineStr">
        <is>
          <t>PACKSHOT — E-commerce hero packshot of the coloring book «Livre de coloriage Cat Moments (adulte, chats)», cover facing forward, centered on a clean seamless pastel background, soft studio shadow, ultra-sharp, soft pastel kawaii brand aesthetic, cohesive palette (blush pink, cream, mint, lilac), 1:1 square.
LIFESTYLE — Top-down flat-lay of «Livre de coloriage Cat Moments (adulte, chats)» on a cozy pastel desk with colored pencils, a warm drink and a small plush, soft natural morning light, hygge kawaii mood, soft pastel kawaii brand aesthetic, cohesive palette (blush pink, cream, mint, lilac), 1:1.
EN SITUATION — Close-up of a person's hands coloring a kawaii page from «Livre de coloriage Cat Moments (adulte, chats)», cozy blanket, shallow depth of field, warm soft tones.
DÉTAIL — Macro of the open inner pages of «Livre de coloriage Cat Moments (adulte, chats)» showing cute kawaii line-art illustrations, crisp lines, shallow depth of field.
FEATURE — Clean product feature image of «Livre de coloriage Cat Moments (adulte, chats)» standing upright with minimal text callouts (page count, thick paper, anti-stress), soft pastel kawaii brand aesthetic, cohesive palette (blush pink, cream, mint, lilac), generous negative space for headline.</t>
        </is>
      </c>
      <c r="V8" t="inlineStr">
        <is>
          <t>.../outputs/coloriage-kawaii-arborescence-2026-07-09/images_produits/08_coloriage-kawaii_1005009054606907</t>
        </is>
      </c>
      <c r="W8" t="inlineStr">
        <is>
          <t>Coloriage kawaii Cat Moments (adulte, chats) | [Marque]</t>
        </is>
      </c>
      <c r="X8" t="inlineStr">
        <is>
          <t>Cat Moments (adulte, chats) — coloriage kawaii | [Marque]</t>
        </is>
      </c>
      <c r="Y8" t="inlineStr">
        <is>
          <t>Cat Moments (adulte, chats) : détente kawaii, illustrations mignonnes. Livraison rapide, avis vérifiés. Commandez sur [Marque] !</t>
        </is>
      </c>
      <c r="Z8" s="117" t="inlineStr">
        <is>
          <t>&lt;div class="product-desc"&gt;
  &lt;p&gt;Coloriage kawaii &lt;strong&gt;« Cat Moments (adulte, chats) »&lt;/strong&gt; — détente kawaii, illustrations mignonnes.&lt;/p&gt;
  &lt;p&gt;&lt;strong&gt;Et si 15 minutes de coloriage remplaçaient le scroll du soir ?&lt;/strong&gt;&lt;/p&gt;
  &lt;h3&gt;✅ Une vraie parenthèse détente&lt;/h3&gt;
  &lt;p&gt;Ce livre de kawaii aide à relâcher la pression : on se concentre sur les couleurs, le mental se pose. Idéal le soir ou le week-end.&lt;/p&gt;
  &lt;h3&gt;✅ Des illustrations originales et mignonnes&lt;/h3&gt;
  &lt;p&gt;Des pages au style kawaii,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9">
      <c r="A9" s="57" t="inlineStr">
        <is>
          <t>coloriage-adulte-1</t>
        </is>
      </c>
      <c r="B9" s="117" t="inlineStr">
        <is>
          <t>coloriage adulte</t>
        </is>
      </c>
      <c r="C9" s="117" t="inlineStr">
        <is>
          <t>Coloriage relaxation — pages à colorier &amp; à dessiner</t>
        </is>
      </c>
      <c r="D9" s="117" t="inlineStr">
        <is>
          <t>https://fr.aliexpress.com/item/1005010376474304.html</t>
        </is>
      </c>
      <c r="E9" s="156" t="n">
        <v>5.69</v>
      </c>
      <c r="F9" s="156" t="n">
        <v>0</v>
      </c>
      <c r="G9" s="156">
        <f>IF(OR(E9="",F9=""),"",E9+F9)</f>
        <v/>
      </c>
      <c r="H9" s="156">
        <f>IFERROR(VLOOKUP(B9,'Collections'!$C$4:$L$18,10,FALSE),"")</f>
        <v/>
      </c>
      <c r="I9" s="162">
        <f>IFERROR(H9/G9,"")</f>
        <v/>
      </c>
      <c r="J9" s="163" t="n">
        <v>4.9</v>
      </c>
      <c r="K9" s="151" t="n">
        <v>5000</v>
      </c>
      <c r="L9" s="117" t="inlineStr">
        <is>
          <t>Choice — vendeur agrégé</t>
        </is>
      </c>
      <c r="M9" s="117" t="inlineStr">
        <is>
          <t>16-19 juil. (~6-9 j)</t>
        </is>
      </c>
      <c r="N9" s="117" t="inlineStr">
        <is>
          <t>Choice</t>
        </is>
      </c>
      <c r="O9" s="117" t="inlineStr">
        <is>
          <t>Couleur: 1PCS-Random</t>
        </is>
      </c>
      <c r="P9" s="117" t="inlineStr">
        <is>
          <t>Coloriage relaxation anti-stress, colorier + dessiner</t>
        </is>
      </c>
      <c r="Q9" s="117" t="inlineStr">
        <is>
          <t>Livre papier, visuels génériques (OK licence). Vérifier texte intérieur minimal (langue).</t>
        </is>
      </c>
      <c r="R9" s="117" t="inlineStr">
        <is>
          <t>Retenir</t>
        </is>
      </c>
      <c r="S9" s="164" t="n">
        <v>46213</v>
      </c>
      <c r="T9" s="59" t="inlineStr">
        <is>
          <t>AliExpress Choice ; livraison gratuite dès 10€ ; note agrégée multi-vendeurs</t>
        </is>
      </c>
      <c r="U9" s="117" t="inlineStr">
        <is>
          <t>PACKSHOT — E-commerce hero packshot of the coloring book «Coloriage relaxation — pages à colorier &amp; à dessiner», cover facing forward, centered on a clean seamless pastel background, soft studio shadow, ultra-sharp, soft pastel kawaii brand aesthetic, cohesive palette (blush pink, cream, mint, lilac), 1:1 square.
LIFESTYLE — Top-down flat-lay of «Coloriage relaxation — pages à colorier &amp; à dessiner» on a cozy pastel desk with colored pencils, a warm drink and a small plush, soft natural morning light, hygge kawaii mood, soft pastel kawaii brand aesthetic, cohesive palette (blush pink, cream, mint, lilac), 1:1.
EN SITUATION — Close-up of a person's hands coloring a cozy anti-stress page from «Coloriage relaxation — pages à colorier &amp; à dessiner», cozy blanket, shallow depth of field, warm soft tones.
DÉTAIL — Macro of the open inner pages of «Coloriage relaxation — pages à colorier &amp; à dessiner» showing cute cozy anti-stress line-art illustrations, crisp lines, shallow depth of field.
FEATURE — Clean product feature image of «Coloriage relaxation — pages à colorier &amp; à dessiner» standing upright with minimal text callouts (page count, thick paper, anti-stress), soft pastel kawaii brand aesthetic, cohesive palette (blush pink, cream, mint, lilac), generous negative space for headline.</t>
        </is>
      </c>
      <c r="V9" t="inlineStr">
        <is>
          <t>.../outputs/coloriage-kawaii-arborescence-2026-07-09/images_produits/09_coloriage-adulte_1005010376474304</t>
        </is>
      </c>
      <c r="W9" t="inlineStr">
        <is>
          <t>Coloriage adulte relaxation — pages à colorier &amp; à dessin | [Marque]</t>
        </is>
      </c>
      <c r="X9" t="inlineStr">
        <is>
          <t>relaxation — pages à colorier &amp; à dessin — coloriage adulte</t>
        </is>
      </c>
      <c r="Y9" t="inlineStr">
        <is>
          <t>relaxation — pages à colorier &amp; à dessin : anti-stress, papier épais. Livraison rapide, avis vérifiés. Commandez sur [Marque] !</t>
        </is>
      </c>
      <c r="Z9" s="117" t="inlineStr">
        <is>
          <t>&lt;div class="product-desc"&gt;
  &lt;p&gt;Coloriage adulte &lt;strong&gt;« relaxation — pages à colorier &amp;amp; à dessin »&lt;/strong&gt; — anti-stress, papier épais.&lt;/p&gt;
  &lt;p&gt;&lt;strong&gt;Envie de déconnecter et de vous détendre un crayon à la main ?&lt;/strong&gt;&lt;/p&gt;
  &lt;h3&gt;✅ Une vraie parenthèse détente&lt;/h3&gt;
  &lt;p&gt;Ce livre de anti-stress aide à relâcher la pression : on se concentre sur les couleurs, le mental se pose. Idéal le soir ou le week-end.&lt;/p&gt;
  &lt;h3&gt;✅ Des illustrations originales et mignonnes&lt;/h3&gt;
  &lt;p&gt;Des pages au style anti-stress,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10">
      <c r="A10" s="57" t="inlineStr">
        <is>
          <t>coloriage-adulte-2</t>
        </is>
      </c>
      <c r="B10" s="117" t="inlineStr">
        <is>
          <t>coloriage adulte</t>
        </is>
      </c>
      <c r="C10" s="117" t="inlineStr">
        <is>
          <t>Coloriage adulte motifs audacieux &amp; faciles</t>
        </is>
      </c>
      <c r="D10" s="117" t="inlineStr">
        <is>
          <t>https://fr.aliexpress.com/item/1005009384551175.html</t>
        </is>
      </c>
      <c r="E10" s="156" t="n">
        <v>6.69</v>
      </c>
      <c r="F10" s="156" t="n">
        <v>0</v>
      </c>
      <c r="G10" s="156">
        <f>IF(OR(E10="",F10=""),"",E10+F10)</f>
        <v/>
      </c>
      <c r="H10" s="156">
        <f>IFERROR(VLOOKUP(B10,'Collections'!$C$4:$L$18,10,FALSE),"")</f>
        <v/>
      </c>
      <c r="I10" s="162">
        <f>IFERROR(H10/G10,"")</f>
        <v/>
      </c>
      <c r="J10" s="163" t="n">
        <v>4.9</v>
      </c>
      <c r="K10" s="151" t="n">
        <v>4000</v>
      </c>
      <c r="L10" s="117" t="inlineStr">
        <is>
          <t>Choice — vendeur agrégé</t>
        </is>
      </c>
      <c r="M10" s="117" t="inlineStr">
        <is>
          <t>16-19 juil. (~6-9 j)</t>
        </is>
      </c>
      <c r="N10" s="117" t="inlineStr">
        <is>
          <t>Choice</t>
        </is>
      </c>
      <c r="O10" s="117" t="inlineStr">
        <is>
          <t>Couleur: MULTI</t>
        </is>
      </c>
      <c r="P10" s="117" t="inlineStr">
        <is>
          <t>Bold &amp; easy : gros motifs faciles, anti-stress accessible</t>
        </is>
      </c>
      <c r="Q10" s="117" t="inlineStr">
        <is>
          <t>Livre papier, visuels génériques (OK licence). Vérifier texte intérieur minimal (langue).</t>
        </is>
      </c>
      <c r="R10" s="117" t="inlineStr">
        <is>
          <t>Retenir</t>
        </is>
      </c>
      <c r="S10" s="164" t="n">
        <v>46213</v>
      </c>
      <c r="T10" s="59" t="inlineStr">
        <is>
          <t>AliExpress Choice ; livraison gratuite dès 10€ ; note agrégée multi-vendeurs</t>
        </is>
      </c>
      <c r="U10" s="117" t="inlineStr">
        <is>
          <t>PACKSHOT — E-commerce hero packshot of the coloring book «Coloriage adulte motifs audacieux &amp; faciles», cover facing forward, centered on a clean seamless pastel background, soft studio shadow, ultra-sharp, soft pastel kawaii brand aesthetic, cohesive palette (blush pink, cream, mint, lilac), 1:1 square.
LIFESTYLE — Top-down flat-lay of «Coloriage adulte motifs audacieux &amp; faciles» on a cozy pastel desk with colored pencils, a warm drink and a small plush, soft natural morning light, hygge kawaii mood, soft pastel kawaii brand aesthetic, cohesive palette (blush pink, cream, mint, lilac), 1:1.
EN SITUATION — Close-up of a person's hands coloring a cozy anti-stress page from «Coloriage adulte motifs audacieux &amp; faciles», cozy blanket, shallow depth of field, warm soft tones.
DÉTAIL — Macro of the open inner pages of «Coloriage adulte motifs audacieux &amp; faciles» showing cute cozy anti-stress line-art illustrations, crisp lines, shallow depth of field.
FEATURE — Clean product feature image of «Coloriage adulte motifs audacieux &amp; faciles» standing upright with minimal text callouts (page count, thick paper, anti-stress), soft pastel kawaii brand aesthetic, cohesive palette (blush pink, cream, mint, lilac), generous negative space for headline.</t>
        </is>
      </c>
      <c r="V10" t="inlineStr">
        <is>
          <t>.../outputs/coloriage-kawaii-arborescence-2026-07-09/images_produits/10_coloriage-adulte_1005009384551175</t>
        </is>
      </c>
      <c r="W10" t="inlineStr">
        <is>
          <t>Coloriage adulte adulte motifs audacieux &amp; faciles | [Marque]</t>
        </is>
      </c>
      <c r="X10" t="inlineStr">
        <is>
          <t>adulte motifs audacieux &amp; faciles — coloriage adulte | [Mar</t>
        </is>
      </c>
      <c r="Y10" t="inlineStr">
        <is>
          <t>adulte motifs audacieux &amp; faciles : anti-stress, papier épais. Livraison rapide, avis vérifiés. Commandez sur [Marque] !</t>
        </is>
      </c>
      <c r="Z10" s="117" t="inlineStr">
        <is>
          <t>&lt;div class="product-desc"&gt;
  &lt;p&gt;Coloriage adulte &lt;strong&gt;« adulte motifs audacieux &amp;amp; faciles »&lt;/strong&gt; — anti-stress, papier épais.&lt;/p&gt;
  &lt;p&gt;&lt;strong&gt;Et si 15 minutes de coloriage remplaçaient le scroll du soir ?&lt;/strong&gt;&lt;/p&gt;
  &lt;h3&gt;✅ Une vraie parenthèse détente&lt;/h3&gt;
  &lt;p&gt;Ce livre de anti-stress aide à relâcher la pression : on se concentre sur les couleurs, le mental se pose. Idéal le soir ou le week-end.&lt;/p&gt;
  &lt;h3&gt;✅ Des illustrations originales et mignonnes&lt;/h3&gt;
  &lt;p&gt;Des pages au style anti-stress,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11">
      <c r="A11" s="57" t="inlineStr">
        <is>
          <t>coloriage-adulte-3</t>
        </is>
      </c>
      <c r="B11" s="117" t="inlineStr">
        <is>
          <t>coloriage adulte</t>
        </is>
      </c>
      <c r="C11" s="117" t="inlineStr">
        <is>
          <t>Coloriage adulte thème chat (relaxation)</t>
        </is>
      </c>
      <c r="D11" s="117" t="inlineStr">
        <is>
          <t>https://fr.aliexpress.com/item/1005008909041175.html</t>
        </is>
      </c>
      <c r="E11" s="156" t="n">
        <v>6.49</v>
      </c>
      <c r="F11" s="156" t="n">
        <v>0</v>
      </c>
      <c r="G11" s="156">
        <f>IF(OR(E11="",F11=""),"",E11+F11)</f>
        <v/>
      </c>
      <c r="H11" s="156">
        <f>IFERROR(VLOOKUP(B11,'Collections'!$C$4:$L$18,10,FALSE),"")</f>
        <v/>
      </c>
      <c r="I11" s="162">
        <f>IFERROR(H11/G11,"")</f>
        <v/>
      </c>
      <c r="J11" s="163" t="n">
        <v>4.9</v>
      </c>
      <c r="K11" s="151" t="n">
        <v>3000</v>
      </c>
      <c r="L11" s="117" t="inlineStr">
        <is>
          <t>Choice — vendeur agrégé</t>
        </is>
      </c>
      <c r="M11" s="117" t="inlineStr">
        <is>
          <t>16-19 juil. (~6-9 j)</t>
        </is>
      </c>
      <c r="N11" s="117" t="inlineStr">
        <is>
          <t>Choice</t>
        </is>
      </c>
      <c r="O11" s="117" t="inlineStr">
        <is>
          <t>Color: StyleA (China Mainland)</t>
        </is>
      </c>
      <c r="P11" s="117" t="inlineStr">
        <is>
          <t>Coloriage chats relaxation — cat-lovers adultes</t>
        </is>
      </c>
      <c r="Q11" s="117" t="inlineStr">
        <is>
          <t>Livre papier, visuels génériques (OK licence). Vérifier texte intérieur minimal (langue).</t>
        </is>
      </c>
      <c r="R11" s="117" t="inlineStr">
        <is>
          <t>Retenir</t>
        </is>
      </c>
      <c r="S11" s="164" t="n">
        <v>46213</v>
      </c>
      <c r="T11" s="59" t="inlineStr">
        <is>
          <t>AliExpress Choice ; livraison gratuite dès 10€ ; note agrégée multi-vendeurs</t>
        </is>
      </c>
      <c r="U11" s="117" t="inlineStr">
        <is>
          <t>PACKSHOT — E-commerce hero packshot of the coloring book «Coloriage adulte thème chat (relaxation)», cover facing forward, centered on a clean seamless pastel background, soft studio shadow, ultra-sharp, soft pastel kawaii brand aesthetic, cohesive palette (blush pink, cream, mint, lilac), 1:1 square.
LIFESTYLE — Top-down flat-lay of «Coloriage adulte thème chat (relaxation)» on a cozy pastel desk with colored pencils, a warm drink and a small plush, soft natural morning light, hygge kawaii mood, soft pastel kawaii brand aesthetic, cohesive palette (blush pink, cream, mint, lilac), 1:1.
EN SITUATION — Close-up of a person's hands coloring a cozy anti-stress page from «Coloriage adulte thème chat (relaxation)», cozy blanket, shallow depth of field, warm soft tones.
DÉTAIL — Macro of the open inner pages of «Coloriage adulte thème chat (relaxation)» showing cute cozy anti-stress line-art illustrations, crisp lines, shallow depth of field.
FEATURE — Clean product feature image of «Coloriage adulte thème chat (relaxation)» standing upright with minimal text callouts (page count, thick paper, anti-stress), soft pastel kawaii brand aesthetic, cohesive palette (blush pink, cream, mint, lilac), generous negative space for headline.</t>
        </is>
      </c>
      <c r="V11" t="inlineStr">
        <is>
          <t>.../outputs/coloriage-kawaii-arborescence-2026-07-09/images_produits/11_coloriage-adulte_1005008909041175</t>
        </is>
      </c>
      <c r="W11" t="inlineStr">
        <is>
          <t>Coloriage adulte adulte thème chat (relaxation) | [Marque]</t>
        </is>
      </c>
      <c r="X11" t="inlineStr">
        <is>
          <t>adulte thème chat (relaxation) — coloriage adulte | [Marque</t>
        </is>
      </c>
      <c r="Y11" t="inlineStr">
        <is>
          <t>adulte thème chat (relaxation) : anti-stress, papier épais. Livraison rapide, avis vérifiés. Commandez sur [Marque] !</t>
        </is>
      </c>
      <c r="Z11" s="117" t="inlineStr">
        <is>
          <t>&lt;div class="product-desc"&gt;
  &lt;p&gt;Coloriage adulte &lt;strong&gt;« adulte thème chat (relaxation) »&lt;/strong&gt; — anti-stress, papier épais.&lt;/p&gt;
  &lt;p&gt;&lt;strong&gt;Besoin d'une pause créative, loin des écrans ?&lt;/strong&gt;&lt;/p&gt;
  &lt;h3&gt;✅ Une vraie parenthèse détente&lt;/h3&gt;
  &lt;p&gt;Ce livre de anti-stress aide à relâcher la pression : on se concentre sur les couleurs, le mental se pose. Idéal le soir ou le week-end.&lt;/p&gt;
  &lt;h3&gt;✅ Des illustrations originales et mignonnes&lt;/h3&gt;
  &lt;p&gt;Des pages au style anti-stress,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12">
      <c r="A12" s="57" t="inlineStr">
        <is>
          <t>coloriage-adulte-4</t>
        </is>
      </c>
      <c r="B12" s="117" t="inlineStr">
        <is>
          <t>coloriage adulte</t>
        </is>
      </c>
      <c r="C12" s="117" t="inlineStr">
        <is>
          <t>Coloriage adulte graffitis / street</t>
        </is>
      </c>
      <c r="D12" s="117" t="inlineStr">
        <is>
          <t>https://fr.aliexpress.com/item/1005008666823092.html</t>
        </is>
      </c>
      <c r="E12" s="156" t="n">
        <v>6.49</v>
      </c>
      <c r="F12" s="156" t="n">
        <v>0</v>
      </c>
      <c r="G12" s="156">
        <f>IF(OR(E12="",F12=""),"",E12+F12)</f>
        <v/>
      </c>
      <c r="H12" s="156">
        <f>IFERROR(VLOOKUP(B12,'Collections'!$C$4:$L$18,10,FALSE),"")</f>
        <v/>
      </c>
      <c r="I12" s="162">
        <f>IFERROR(H12/G12,"")</f>
        <v/>
      </c>
      <c r="J12" s="163" t="n">
        <v>4.9</v>
      </c>
      <c r="K12" s="151" t="n">
        <v>2000</v>
      </c>
      <c r="L12" s="117" t="inlineStr">
        <is>
          <t>Choice — vendeur agrégé</t>
        </is>
      </c>
      <c r="M12" s="117" t="inlineStr">
        <is>
          <t>16-19 juil. (~6-9 j)</t>
        </is>
      </c>
      <c r="N12" s="117" t="inlineStr">
        <is>
          <t>Choice</t>
        </is>
      </c>
      <c r="O12" s="117" t="inlineStr">
        <is>
          <t>Couleur: MULTI</t>
        </is>
      </c>
      <c r="P12" s="117" t="inlineStr">
        <is>
          <t>Coloriage street/graffiti adulte — style urbain</t>
        </is>
      </c>
      <c r="Q12" s="117" t="inlineStr">
        <is>
          <t>Livre papier, visuels génériques (OK licence). Vérifier texte intérieur minimal (langue).</t>
        </is>
      </c>
      <c r="R12" s="117" t="inlineStr">
        <is>
          <t>Retenir</t>
        </is>
      </c>
      <c r="S12" s="164" t="n">
        <v>46213</v>
      </c>
      <c r="T12" s="59" t="inlineStr">
        <is>
          <t>AliExpress Choice ; livraison gratuite dès 10€ ; note agrégée multi-vendeurs</t>
        </is>
      </c>
      <c r="U12" s="117" t="inlineStr">
        <is>
          <t>PACKSHOT — E-commerce hero packshot of the coloring book «Coloriage adulte graffitis / street», cover facing forward, centered on a clean seamless pastel background, soft studio shadow, ultra-sharp, soft pastel kawaii brand aesthetic, cohesive palette (blush pink, cream, mint, lilac), 1:1 square.
LIFESTYLE — Top-down flat-lay of «Coloriage adulte graffitis / street» on a cozy pastel desk with colored pencils, a warm drink and a small plush, soft natural morning light, hygge kawaii mood, soft pastel kawaii brand aesthetic, cohesive palette (blush pink, cream, mint, lilac), 1:1.
EN SITUATION — Close-up of a person's hands coloring a cozy anti-stress page from «Coloriage adulte graffitis / street», cozy blanket, shallow depth of field, warm soft tones.
DÉTAIL — Macro of the open inner pages of «Coloriage adulte graffitis / street» showing cute cozy anti-stress line-art illustrations, crisp lines, shallow depth of field.
FEATURE — Clean product feature image of «Coloriage adulte graffitis / street» standing upright with minimal text callouts (page count, thick paper, anti-stress), soft pastel kawaii brand aesthetic, cohesive palette (blush pink, cream, mint, lilac), generous negative space for headline.</t>
        </is>
      </c>
      <c r="V12" t="inlineStr">
        <is>
          <t>.../outputs/coloriage-kawaii-arborescence-2026-07-09/images_produits/12_coloriage-adulte_1005008666823092</t>
        </is>
      </c>
      <c r="W12" t="inlineStr">
        <is>
          <t>Coloriage adulte adulte graffitis / street | [Marque]</t>
        </is>
      </c>
      <c r="X12" t="inlineStr">
        <is>
          <t>adulte graffitis / street — coloriage adulte | [Marque]</t>
        </is>
      </c>
      <c r="Y12" t="inlineStr">
        <is>
          <t>adulte graffitis / street : anti-stress, papier épais. Livraison rapide, avis vérifiés. Commandez sur [Marque] !</t>
        </is>
      </c>
      <c r="Z12" s="117" t="inlineStr">
        <is>
          <t>&lt;div class="product-desc"&gt;
  &lt;p&gt;Coloriage adulte &lt;strong&gt;« adulte graffitis / street »&lt;/strong&gt; — anti-stress, papier épais.&lt;/p&gt;
  &lt;p&gt;&lt;strong&gt;Envie de déconnecter et de vous détendre un crayon à la main ?&lt;/strong&gt;&lt;/p&gt;
  &lt;h3&gt;✅ Une vraie parenthèse détente&lt;/h3&gt;
  &lt;p&gt;Ce livre de anti-stress aide à relâcher la pression : on se concentre sur les couleurs, le mental se pose. Idéal le soir ou le week-end.&lt;/p&gt;
  &lt;h3&gt;✅ Des illustrations originales et mignonnes&lt;/h3&gt;
  &lt;p&gt;Des pages au style anti-stress,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13">
      <c r="A13" s="57" t="inlineStr">
        <is>
          <t>coloriage-adulte-5</t>
        </is>
      </c>
      <c r="B13" s="117" t="inlineStr">
        <is>
          <t>coloriage adulte</t>
        </is>
      </c>
      <c r="C13" s="117" t="inlineStr">
        <is>
          <t>Coloriage adulte mignon &amp; simple</t>
        </is>
      </c>
      <c r="D13" s="117" t="inlineStr">
        <is>
          <t>https://fr.aliexpress.com/item/1005008908845958.html</t>
        </is>
      </c>
      <c r="E13" s="156" t="n">
        <v>6.79</v>
      </c>
      <c r="F13" s="156" t="n">
        <v>0</v>
      </c>
      <c r="G13" s="156">
        <f>IF(OR(E13="",F13=""),"",E13+F13)</f>
        <v/>
      </c>
      <c r="H13" s="156">
        <f>IFERROR(VLOOKUP(B13,'Collections'!$C$4:$L$18,10,FALSE),"")</f>
        <v/>
      </c>
      <c r="I13" s="162">
        <f>IFERROR(H13/G13,"")</f>
        <v/>
      </c>
      <c r="J13" s="163" t="n">
        <v>4.9</v>
      </c>
      <c r="K13" s="151" t="n">
        <v>2000</v>
      </c>
      <c r="L13" s="117" t="inlineStr">
        <is>
          <t>Choice — vendeur agrégé</t>
        </is>
      </c>
      <c r="M13" s="117" t="inlineStr">
        <is>
          <t>16-19 juil. (~6-9 j)</t>
        </is>
      </c>
      <c r="N13" s="117" t="inlineStr">
        <is>
          <t>Choice</t>
        </is>
      </c>
      <c r="O13" s="117" t="inlineStr">
        <is>
          <t>Couleur: MULTI</t>
        </is>
      </c>
      <c r="P13" s="117" t="inlineStr">
        <is>
          <t>Coloriage mignon &amp; simple, motifs faciles détente</t>
        </is>
      </c>
      <c r="Q13" s="117" t="inlineStr">
        <is>
          <t>Livre papier, visuels génériques (OK licence). Vérifier texte intérieur minimal (langue).</t>
        </is>
      </c>
      <c r="R13" s="117" t="inlineStr">
        <is>
          <t>Retenir</t>
        </is>
      </c>
      <c r="S13" s="164" t="n">
        <v>46213</v>
      </c>
      <c r="T13" s="59" t="inlineStr">
        <is>
          <t>AliExpress Choice ; livraison gratuite dès 10€ ; note agrégée multi-vendeurs</t>
        </is>
      </c>
      <c r="U13" s="117" t="inlineStr">
        <is>
          <t>PACKSHOT — E-commerce hero packshot of the coloring book «Coloriage adulte mignon &amp; simple», cover facing forward, centered on a clean seamless pastel background, soft studio shadow, ultra-sharp, soft pastel kawaii brand aesthetic, cohesive palette (blush pink, cream, mint, lilac), 1:1 square.
LIFESTYLE — Top-down flat-lay of «Coloriage adulte mignon &amp; simple» on a cozy pastel desk with colored pencils, a warm drink and a small plush, soft natural morning light, hygge kawaii mood, soft pastel kawaii brand aesthetic, cohesive palette (blush pink, cream, mint, lilac), 1:1.
EN SITUATION — Close-up of a person's hands coloring a cozy anti-stress page from «Coloriage adulte mignon &amp; simple», cozy blanket, shallow depth of field, warm soft tones.
DÉTAIL — Macro of the open inner pages of «Coloriage adulte mignon &amp; simple» showing cute cozy anti-stress line-art illustrations, crisp lines, shallow depth of field.
FEATURE — Clean product feature image of «Coloriage adulte mignon &amp; simple» standing upright with minimal text callouts (page count, thick paper, anti-stress), soft pastel kawaii brand aesthetic, cohesive palette (blush pink, cream, mint, lilac), generous negative space for headline.</t>
        </is>
      </c>
      <c r="V13" t="inlineStr">
        <is>
          <t>.../outputs/coloriage-kawaii-arborescence-2026-07-09/images_produits/13_coloriage-adulte_1005008908845958</t>
        </is>
      </c>
      <c r="W13" t="inlineStr">
        <is>
          <t>Coloriage adulte adulte mignon &amp; simple | [Marque]</t>
        </is>
      </c>
      <c r="X13" t="inlineStr">
        <is>
          <t>adulte mignon &amp; simple — coloriage adulte | [Marque]</t>
        </is>
      </c>
      <c r="Y13" t="inlineStr">
        <is>
          <t>adulte mignon &amp; simple : anti-stress, papier épais. Livraison rapide, avis vérifiés. Commandez sur [Marque] !</t>
        </is>
      </c>
      <c r="Z13" s="117" t="inlineStr">
        <is>
          <t>&lt;div class="product-desc"&gt;
  &lt;p&gt;Coloriage adulte &lt;strong&gt;« adulte mignon &amp;amp; simple »&lt;/strong&gt; — anti-stress, papier épais.&lt;/p&gt;
  &lt;p&gt;&lt;strong&gt;Et si 15 minutes de coloriage remplaçaient le scroll du soir ?&lt;/strong&gt;&lt;/p&gt;
  &lt;h3&gt;✅ Une vraie parenthèse détente&lt;/h3&gt;
  &lt;p&gt;Ce livre de anti-stress aide à relâcher la pression : on se concentre sur les couleurs, le mental se pose. Idéal le soir ou le week-end.&lt;/p&gt;
  &lt;h3&gt;✅ Des illustrations originales et mignonnes&lt;/h3&gt;
  &lt;p&gt;Des pages au style anti-stress,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14">
      <c r="A14" s="57" t="inlineStr">
        <is>
          <t>coloriage-magique-1</t>
        </is>
      </c>
      <c r="B14" s="117" t="inlineStr">
        <is>
          <t>coloriage magique</t>
        </is>
      </c>
      <c r="C14" s="117" t="inlineStr">
        <is>
          <t>Coloriage magique à l'eau réutilisable (enfant)</t>
        </is>
      </c>
      <c r="D14" s="117" t="inlineStr">
        <is>
          <t>https://fr.aliexpress.com/item/1005007170687871.html</t>
        </is>
      </c>
      <c r="E14" s="156" t="n">
        <v>4.29</v>
      </c>
      <c r="F14" s="156" t="n">
        <v>0</v>
      </c>
      <c r="G14" s="156">
        <f>IF(OR(E14="",F14=""),"",E14+F14)</f>
        <v/>
      </c>
      <c r="H14" s="156">
        <f>IFERROR(VLOOKUP(B14,'Collections'!$C$4:$L$18,10,FALSE),"")</f>
        <v/>
      </c>
      <c r="I14" s="162">
        <f>IFERROR(H14/G14,"")</f>
        <v/>
      </c>
      <c r="J14" s="163" t="n">
        <v>4.9</v>
      </c>
      <c r="K14" s="151" t="n">
        <v>10000</v>
      </c>
      <c r="L14" s="117" t="inlineStr">
        <is>
          <t>Choice — vendeur agrégé</t>
        </is>
      </c>
      <c r="M14" s="117" t="inlineStr">
        <is>
          <t>18-23 juil. (~8-13 j)</t>
        </is>
      </c>
      <c r="N14" s="117" t="inlineStr">
        <is>
          <t>Choice</t>
        </is>
      </c>
      <c r="O14" s="117" t="inlineStr">
        <is>
          <t>Couleur: 1pc pen random</t>
        </is>
      </c>
      <c r="P14" s="117" t="inlineStr">
        <is>
          <t>Coloriage à l'eau sans tache &amp; réutilisable — cadeau enfant</t>
        </is>
      </c>
      <c r="Q14" s="117" t="inlineStr">
        <is>
          <t>JOUET ENFANT : conformité CE/EN71 + GPSR requise ; risque suffocation (petites pièces) ; exiger docs conformité fournisseur. Visuels génériques (OK licence).</t>
        </is>
      </c>
      <c r="R14" s="117" t="inlineStr">
        <is>
          <t>Retenir</t>
        </is>
      </c>
      <c r="S14" s="164" t="n">
        <v>46213</v>
      </c>
      <c r="T14" s="59" t="inlineStr">
        <is>
          <t>AliExpress Choice ; livraison gratuite dès 10€ ; note agrégée</t>
        </is>
      </c>
      <c r="U14" s="117" t="inlineStr">
        <is>
          <t>PACKSHOT — Hero packshot of the kids activity product «Coloriage magique à l'eau réutilisable (enfant)» (magic water / reusable), centered on clean bright pastel background, soft shadow, ultra-sharp, soft pastel kawaii brand aesthetic, cohesive palette (blush pink, cream, mint, lilac), 1:1.
LIFESTYLE — A happy child using «Coloriage magique à l'eau réutilisable (enfant)» at a bright playful table, colorful, safe, soft daylight, top-down, soft pastel kawaii brand aesthetic, cohesive palette (blush pink, cream, mint, lilac), 1:1.
EN SITUATION — Close-up of little hands revealing colors on a kids magic-water page of «Coloriage magique à l'eau réutilisable (enfant)», joyful, shallow depth of field.
DÉTAIL — Macro of «Coloriage magique à l'eau réutilisable (enfant)» pages and the water pen, cute kids magic-water illustrations, crisp, colorful.
FEATURE — Clean feature image of «Coloriage magique à l'eau réutilisable (enfant)» with playful callouts (no mess, reusable, ages 3+), pastel palette, negative space.</t>
        </is>
      </c>
      <c r="V14" t="inlineStr">
        <is>
          <t>.../outputs/coloriage-kawaii-arborescence-2026-07-09/images_produits/14_coloriage-magique_1005007170687871</t>
        </is>
      </c>
      <c r="W14" t="inlineStr">
        <is>
          <t>Coloriage magique magique à l'eau réutilisable (enfant) | [Marque]</t>
        </is>
      </c>
      <c r="X14" t="inlineStr">
        <is>
          <t>magique à l'eau réutilisable (enfant) — coloriage magique |</t>
        </is>
      </c>
      <c r="Y14" t="inlineStr">
        <is>
          <t>magique à l'eau réutilisable (enfant) : à l'eau, réutilisable, sans tache. Livraison rapide, avis vérifiés. Commandez sur [Marque] !</t>
        </is>
      </c>
      <c r="Z14" s="117" t="inlineStr">
        <is>
          <t>&lt;div class="product-desc"&gt;
  &lt;p&gt;Coloriage magique &lt;strong&gt;« magique à l'eau réutilisable (enfant) »&lt;/strong&gt; — à l'eau, réutilisable, sans tache.&lt;/p&gt;
  &lt;p&gt;&lt;strong&gt;Occuper les enfants sans dégât ni écran, c'est possible ?&lt;/strong&gt;&lt;/p&gt;
  &lt;h3&gt;✅ Zéro tache, 100% amusement&lt;/h3&gt;
  &lt;p&gt;Coloriage à l'eau : l'enfant peint avec de l'eau, les couleurs apparaissent, puis s'effacent en séchant — réutilisable à l'infini.&lt;/p&gt;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magique à l'eau réutilisable&lt;/li&gt;
    &lt;li&gt;&lt;strong&gt;Âge conseillé :&lt;/strong&gt; Dès 3 ans (petites pièces : sous surveillance)&lt;/li&gt;
    &lt;li&gt;&lt;strong&gt;Contenu :&lt;/strong&gt; 1 livre + 1 stylo à eau&lt;/li&gt;
    &lt;li&gt;&lt;strong&gt;Illustrations :&lt;/strong&gt; Génériques et mignonnes&lt;/li&gt;
    &lt;li&gt;&lt;strong&gt;Entretien :&lt;/strong&gt; Sèche et se réutilise&lt;/li&gt;
  &lt;/ul&gt;
  &lt;h3&gt;❓ Questions fréquentes&lt;/h3&gt;
  &lt;details&gt;&lt;summary&gt;À partir de quel âge ?&lt;/summary&gt;&lt;p&gt;Conseillé dès 3 ans ; les tout-petits sous la surveillance d'un adulte (petites pièces).&lt;/p&gt;&lt;/details&gt;
  &lt;details&gt;&lt;summary&gt;C'est vraiment réutilisable ?&lt;/summary&gt;&lt;p&gt;Oui : une fois sec, le livre redevient blanc et se recolorie.&lt;/p&gt;&lt;/details&gt;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15">
      <c r="A15" s="57" t="inlineStr">
        <is>
          <t>coloriage-magique-2</t>
        </is>
      </c>
      <c r="B15" s="117" t="inlineStr">
        <is>
          <t>coloriage magique</t>
        </is>
      </c>
      <c r="C15" s="117" t="inlineStr">
        <is>
          <t>Livre peinture à l'eau magique (enfant)</t>
        </is>
      </c>
      <c r="D15" s="117" t="inlineStr">
        <is>
          <t>https://fr.aliexpress.com/item/1005010530716815.html</t>
        </is>
      </c>
      <c r="E15" s="156" t="n">
        <v>4.39</v>
      </c>
      <c r="F15" s="156" t="n">
        <v>0</v>
      </c>
      <c r="G15" s="156">
        <f>IF(OR(E15="",F15=""),"",E15+F15)</f>
        <v/>
      </c>
      <c r="H15" s="156">
        <f>IFERROR(VLOOKUP(B15,'Collections'!$C$4:$L$18,10,FALSE),"")</f>
        <v/>
      </c>
      <c r="I15" s="162">
        <f>IFERROR(H15/G15,"")</f>
        <v/>
      </c>
      <c r="J15" s="163" t="n">
        <v>4.9</v>
      </c>
      <c r="K15" s="151" t="n">
        <v>10000</v>
      </c>
      <c r="L15" s="117" t="inlineStr">
        <is>
          <t>Choice — vendeur agrégé</t>
        </is>
      </c>
      <c r="M15" s="117" t="inlineStr">
        <is>
          <t>16-19 juil. (~6-9 j)</t>
        </is>
      </c>
      <c r="N15" s="117" t="inlineStr">
        <is>
          <t>Choice</t>
        </is>
      </c>
      <c r="O15" s="117" t="inlineStr">
        <is>
          <t>Couleur: 1pc pen random</t>
        </is>
      </c>
      <c r="P15" s="117" t="inlineStr">
        <is>
          <t>Peinture à l'eau magique réutilisable — enfant / voyage</t>
        </is>
      </c>
      <c r="Q15" s="117" t="inlineStr">
        <is>
          <t>JOUET ENFANT : conformité CE/EN71 + GPSR requise ; risque suffocation (petites pièces) ; exiger docs conformité fournisseur. Visuels génériques (OK licence).</t>
        </is>
      </c>
      <c r="R15" s="117" t="inlineStr">
        <is>
          <t>Retenir</t>
        </is>
      </c>
      <c r="S15" s="164" t="n">
        <v>46213</v>
      </c>
      <c r="T15" s="59" t="inlineStr">
        <is>
          <t>AliExpress Choice ; livraison gratuite dès 10€ ; note agrégée</t>
        </is>
      </c>
      <c r="U15" s="117" t="inlineStr">
        <is>
          <t>PACKSHOT — Hero packshot of the kids activity product «Livre peinture à l'eau magique (enfant)» (magic water / reusable), centered on clean bright pastel background, soft shadow, ultra-sharp, soft pastel kawaii brand aesthetic, cohesive palette (blush pink, cream, mint, lilac), 1:1.
LIFESTYLE — A happy child using «Livre peinture à l'eau magique (enfant)» at a bright playful table, colorful, safe, soft daylight, top-down, soft pastel kawaii brand aesthetic, cohesive palette (blush pink, cream, mint, lilac), 1:1.
EN SITUATION — Close-up of little hands revealing colors on a kids magic-water page of «Livre peinture à l'eau magique (enfant)», joyful, shallow depth of field.
DÉTAIL — Macro of «Livre peinture à l'eau magique (enfant)» pages and the water pen, cute kids magic-water illustrations, crisp, colorful.
FEATURE — Clean feature image of «Livre peinture à l'eau magique (enfant)» with playful callouts (no mess, reusable, ages 3+), pastel palette, negative space.</t>
        </is>
      </c>
      <c r="V15" t="inlineStr">
        <is>
          <t>.../outputs/coloriage-kawaii-arborescence-2026-07-09/images_produits/15_coloriage-magique_1005010530716815</t>
        </is>
      </c>
      <c r="W15" t="inlineStr">
        <is>
          <t>Coloriage magique peinture à l'eau magique (enfant) | [Marque]</t>
        </is>
      </c>
      <c r="X15" t="inlineStr">
        <is>
          <t>peinture à l'eau magique (enfant) — coloriage magique | [Ma</t>
        </is>
      </c>
      <c r="Y15" t="inlineStr">
        <is>
          <t>peinture à l'eau magique (enfant) : à l'eau, réutilisable, sans tache. Livraison rapide, avis vérifiés. Commandez sur [Marque] !</t>
        </is>
      </c>
      <c r="Z15" s="117" t="inlineStr">
        <is>
          <t>&lt;div class="product-desc"&gt;
  &lt;p&gt;Coloriage magique &lt;strong&gt;« peinture à l'eau magique (enfant) »&lt;/strong&gt; — à l'eau, réutilisable, sans tache.&lt;/p&gt;
  &lt;p&gt;&lt;strong&gt;Un cadeau créatif qui plaît vraiment aux enfants ?&lt;/strong&gt;&lt;/p&gt;
  &lt;h3&gt;✅ Zéro tache, 100% amusement&lt;/h3&gt;
  &lt;p&gt;Coloriage à l'eau : l'enfant peint avec de l'eau, les couleurs apparaissent, puis s'effacent en séchant — réutilisable à l'infini.&lt;/p&gt;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magique à l'eau réutilisable&lt;/li&gt;
    &lt;li&gt;&lt;strong&gt;Âge conseillé :&lt;/strong&gt; Dès 3 ans (petites pièces : sous surveillance)&lt;/li&gt;
    &lt;li&gt;&lt;strong&gt;Contenu :&lt;/strong&gt; 1 livre + 1 stylo à eau&lt;/li&gt;
    &lt;li&gt;&lt;strong&gt;Illustrations :&lt;/strong&gt; Génériques et mignonnes&lt;/li&gt;
    &lt;li&gt;&lt;strong&gt;Entretien :&lt;/strong&gt; Sèche et se réutilise&lt;/li&gt;
  &lt;/ul&gt;
  &lt;h3&gt;❓ Questions fréquentes&lt;/h3&gt;
  &lt;details&gt;&lt;summary&gt;À partir de quel âge ?&lt;/summary&gt;&lt;p&gt;Conseillé dès 3 ans ; les tout-petits sous la surveillance d'un adulte (petites pièces).&lt;/p&gt;&lt;/details&gt;
  &lt;details&gt;&lt;summary&gt;C'est vraiment réutilisable ?&lt;/summary&gt;&lt;p&gt;Oui : une fois sec, le livre redevient blanc et se recolorie.&lt;/p&gt;&lt;/details&gt;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16">
      <c r="A16" s="57" t="inlineStr">
        <is>
          <t>coloriage-magique-3</t>
        </is>
      </c>
      <c r="B16" s="117" t="inlineStr">
        <is>
          <t>coloriage magique</t>
        </is>
      </c>
      <c r="C16" s="117" t="inlineStr">
        <is>
          <t>Livre/ardoise gribouillage effaçable + craies</t>
        </is>
      </c>
      <c r="D16" s="117" t="inlineStr">
        <is>
          <t>https://fr.aliexpress.com/item/1005006861929121.html</t>
        </is>
      </c>
      <c r="E16" s="156" t="n">
        <v>5.59</v>
      </c>
      <c r="F16" s="156" t="n">
        <v>0</v>
      </c>
      <c r="G16" s="156">
        <f>IF(OR(E16="",F16=""),"",E16+F16)</f>
        <v/>
      </c>
      <c r="H16" s="156">
        <f>IFERROR(VLOOKUP(B16,'Collections'!$C$4:$L$18,10,FALSE),"")</f>
        <v/>
      </c>
      <c r="I16" s="162">
        <f>IFERROR(H16/G16,"")</f>
        <v/>
      </c>
      <c r="J16" s="163" t="n">
        <v>4.9</v>
      </c>
      <c r="K16" s="151" t="n">
        <v>5000</v>
      </c>
      <c r="L16" s="117" t="inlineStr">
        <is>
          <t>Choice — vendeur agrégé</t>
        </is>
      </c>
      <c r="M16" s="117" t="inlineStr">
        <is>
          <t>16-19 juil. (~6-9 j)</t>
        </is>
      </c>
      <c r="N16" s="117" t="inlineStr">
        <is>
          <t>Choice</t>
        </is>
      </c>
      <c r="O16" s="117" t="inlineStr">
        <is>
          <t>Couleur: 12-color water chalk</t>
        </is>
      </c>
      <c r="P16" s="117" t="inlineStr">
        <is>
          <t>Ardoise effaçable + craies à eau — dessin sans tache</t>
        </is>
      </c>
      <c r="Q16" s="117" t="inlineStr">
        <is>
          <t>JOUET ENFANT : conformité CE/EN71 + GPSR requise ; risque suffocation (petites pièces) ; exiger docs conformité fournisseur. Visuels génériques (OK licence).</t>
        </is>
      </c>
      <c r="R16" s="117" t="inlineStr">
        <is>
          <t>Retenir</t>
        </is>
      </c>
      <c r="S16" s="164" t="n">
        <v>46213</v>
      </c>
      <c r="T16" s="59" t="inlineStr">
        <is>
          <t>AliExpress Choice ; livraison gratuite dès 10€ ; note agrégée</t>
        </is>
      </c>
      <c r="U16" s="117" t="inlineStr">
        <is>
          <t>PACKSHOT — Hero packshot of the kids activity product «Livre/ardoise gribouillage effaçable + craies» (magic water / reusable), centered on clean bright pastel background, soft shadow, ultra-sharp, soft pastel kawaii brand aesthetic, cohesive palette (blush pink, cream, mint, lilac), 1:1.
LIFESTYLE — A happy child using «Livre/ardoise gribouillage effaçable + craies» at a bright playful table, colorful, safe, soft daylight, top-down, soft pastel kawaii brand aesthetic, cohesive palette (blush pink, cream, mint, lilac), 1:1.
EN SITUATION — Close-up of little hands revealing colors on a kids magic-water page of «Livre/ardoise gribouillage effaçable + craies», joyful, shallow depth of field.
DÉTAIL — Macro of «Livre/ardoise gribouillage effaçable + craies» pages and the water pen, cute kids magic-water illustrations, crisp, colorful.
FEATURE — Clean feature image of «Livre/ardoise gribouillage effaçable + craies» with playful callouts (no mess, reusable, ages 3+), pastel palette, negative space.</t>
        </is>
      </c>
      <c r="V16" t="inlineStr">
        <is>
          <t>.../outputs/coloriage-kawaii-arborescence-2026-07-09/images_produits/16_coloriage-magique_1005006861929121</t>
        </is>
      </c>
      <c r="W16" t="inlineStr">
        <is>
          <t>Coloriage magique /ardoise gribouillage effaçable + craies | [Marque]</t>
        </is>
      </c>
      <c r="X16" t="inlineStr">
        <is>
          <t>/ardoise gribouillage effaçable + craies — coloriage magiqu</t>
        </is>
      </c>
      <c r="Y16" t="inlineStr">
        <is>
          <t>/ardoise gribouillage effaçable + craies : à l'eau, réutilisable, sans tache. Livraison rapide, avis vérifiés. Commandez sur [Marque] !</t>
        </is>
      </c>
      <c r="Z16" s="117" t="inlineStr">
        <is>
          <t>&lt;div class="product-desc"&gt;
  &lt;p&gt;Coloriage magique &lt;strong&gt;« /ardoise gribouillage effaçable + craies »&lt;/strong&gt; — à l'eau, réutilisable, sans tache.&lt;/p&gt;
  &lt;p&gt;&lt;strong&gt;Marre des taches de feutre partout ?&lt;/strong&gt;&lt;/p&gt;
  &lt;h3&gt;✅ Zéro tache, 100% amusement&lt;/h3&gt;
  &lt;p&gt;Coloriage à l'eau : l'enfant peint avec de l'eau, les couleurs apparaissent, puis s'effacent en séchant — réutilisable à l'infini.&lt;/p&gt;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magique à l'eau réutilisable&lt;/li&gt;
    &lt;li&gt;&lt;strong&gt;Âge conseillé :&lt;/strong&gt; Dès 3 ans (petites pièces : sous surveillance)&lt;/li&gt;
    &lt;li&gt;&lt;strong&gt;Contenu :&lt;/strong&gt; 1 livre + 1 stylo à eau&lt;/li&gt;
    &lt;li&gt;&lt;strong&gt;Illustrations :&lt;/strong&gt; Génériques et mignonnes&lt;/li&gt;
    &lt;li&gt;&lt;strong&gt;Entretien :&lt;/strong&gt; Sèche et se réutilise&lt;/li&gt;
  &lt;/ul&gt;
  &lt;h3&gt;❓ Questions fréquentes&lt;/h3&gt;
  &lt;details&gt;&lt;summary&gt;À partir de quel âge ?&lt;/summary&gt;&lt;p&gt;Conseillé dès 3 ans ; les tout-petits sous la surveillance d'un adulte (petites pièces).&lt;/p&gt;&lt;/details&gt;
  &lt;details&gt;&lt;summary&gt;C'est vraiment réutilisable ?&lt;/summary&gt;&lt;p&gt;Oui : une fois sec, le livre redevient blanc et se recolorie.&lt;/p&gt;&lt;/details&gt;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17">
      <c r="A17" s="57" t="inlineStr">
        <is>
          <t>coloriage-magique-4</t>
        </is>
      </c>
      <c r="B17" s="117" t="inlineStr">
        <is>
          <t>coloriage magique</t>
        </is>
      </c>
      <c r="C17" s="117" t="inlineStr">
        <is>
          <t>Ardoise gribouillage effaçable (tout-petits)</t>
        </is>
      </c>
      <c r="D17" s="117" t="inlineStr">
        <is>
          <t>https://fr.aliexpress.com/item/1005007172734891.html</t>
        </is>
      </c>
      <c r="E17" s="156" t="n">
        <v>5.89</v>
      </c>
      <c r="F17" s="156" t="n">
        <v>0</v>
      </c>
      <c r="G17" s="156">
        <f>IF(OR(E17="",F17=""),"",E17+F17)</f>
        <v/>
      </c>
      <c r="H17" s="156">
        <f>IFERROR(VLOOKUP(B17,'Collections'!$C$4:$L$18,10,FALSE),"")</f>
        <v/>
      </c>
      <c r="I17" s="162">
        <f>IFERROR(H17/G17,"")</f>
        <v/>
      </c>
      <c r="J17" s="163" t="n">
        <v>4.7</v>
      </c>
      <c r="K17" s="151" t="n">
        <v>5000</v>
      </c>
      <c r="L17" s="117" t="inlineStr">
        <is>
          <t>Choice — vendeur agrégé</t>
        </is>
      </c>
      <c r="M17" s="117" t="inlineStr">
        <is>
          <t>16-19 juil. (~6-9 j)</t>
        </is>
      </c>
      <c r="N17" s="117" t="inlineStr">
        <is>
          <t>Choice</t>
        </is>
      </c>
      <c r="O17" s="117" t="inlineStr">
        <is>
          <t>Couleur: 12-color water chalk</t>
        </is>
      </c>
      <c r="P17" s="117" t="inlineStr">
        <is>
          <t>Ardoise effaçable réutilisable — tout-petits</t>
        </is>
      </c>
      <c r="Q17" s="117" t="inlineStr">
        <is>
          <t>JOUET ENFANT : conformité CE/EN71 + GPSR requise ; risque suffocation (petites pièces) ; exiger docs conformité fournisseur. Visuels génériques (OK licence).</t>
        </is>
      </c>
      <c r="R17" s="117" t="inlineStr">
        <is>
          <t>Retenir</t>
        </is>
      </c>
      <c r="S17" s="164" t="n">
        <v>46213</v>
      </c>
      <c r="T17" s="59" t="inlineStr">
        <is>
          <t>AliExpress Choice ; livraison gratuite dès 10€ ; note agrégée</t>
        </is>
      </c>
      <c r="U17" s="117" t="inlineStr">
        <is>
          <t>PACKSHOT — Hero packshot of the kids activity product «Ardoise gribouillage effaçable (tout-petits)» (magic water / reusable), centered on clean bright pastel background, soft shadow, ultra-sharp, soft pastel kawaii brand aesthetic, cohesive palette (blush pink, cream, mint, lilac), 1:1.
LIFESTYLE — A happy child using «Ardoise gribouillage effaçable (tout-petits)» at a bright playful table, colorful, safe, soft daylight, top-down, soft pastel kawaii brand aesthetic, cohesive palette (blush pink, cream, mint, lilac), 1:1.
EN SITUATION — Close-up of little hands revealing colors on a kids magic-water page of «Ardoise gribouillage effaçable (tout-petits)», joyful, shallow depth of field.
DÉTAIL — Macro of «Ardoise gribouillage effaçable (tout-petits)» pages and the water pen, cute kids magic-water illustrations, crisp, colorful.
FEATURE — Clean feature image of «Ardoise gribouillage effaçable (tout-petits)» with playful callouts (no mess, reusable, ages 3+), pastel palette, negative space.</t>
        </is>
      </c>
      <c r="V17" t="inlineStr">
        <is>
          <t>.../outputs/coloriage-kawaii-arborescence-2026-07-09/images_produits/17_coloriage-magique_1005007172734891</t>
        </is>
      </c>
      <c r="W17" t="inlineStr">
        <is>
          <t>Coloriage magique Ardoise gribouillage effaçable (tout-pet | [Marque]</t>
        </is>
      </c>
      <c r="X17" t="inlineStr">
        <is>
          <t>Ardoise gribouillage effaçable (tout-pet — coloriage magiqu</t>
        </is>
      </c>
      <c r="Y17" t="inlineStr">
        <is>
          <t>Ardoise gribouillage effaçable (tout-pet : à l'eau, réutilisable, sans tache. Livraison rapide, avis vérifiés. Commandez sur [Marque] !</t>
        </is>
      </c>
      <c r="Z17" s="117" t="inlineStr">
        <is>
          <t>&lt;div class="product-desc"&gt;
  &lt;p&gt;Coloriage magique &lt;strong&gt;« Ardoise gribouillage effaçable (tout-pet »&lt;/strong&gt; — à l'eau, réutilisable, sans tache.&lt;/p&gt;
  &lt;p&gt;&lt;strong&gt;Occuper les enfants sans dégât ni écran, c'est possible ?&lt;/strong&gt;&lt;/p&gt;
  &lt;h3&gt;✅ Zéro tache, 100% amusement&lt;/h3&gt;
  &lt;p&gt;Coloriage à l'eau : l'enfant peint avec de l'eau, les couleurs apparaissent, puis s'effacent en séchant — réutilisable à l'infini.&lt;/p&gt;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magique à l'eau réutilisable&lt;/li&gt;
    &lt;li&gt;&lt;strong&gt;Âge conseillé :&lt;/strong&gt; Dès 3 ans (petites pièces : sous surveillance)&lt;/li&gt;
    &lt;li&gt;&lt;strong&gt;Contenu :&lt;/strong&gt; 1 livre + 1 stylo à eau&lt;/li&gt;
    &lt;li&gt;&lt;strong&gt;Illustrations :&lt;/strong&gt; Génériques et mignonnes&lt;/li&gt;
    &lt;li&gt;&lt;strong&gt;Entretien :&lt;/strong&gt; Sèche et se réutilise&lt;/li&gt;
  &lt;/ul&gt;
  &lt;h3&gt;❓ Questions fréquentes&lt;/h3&gt;
  &lt;details&gt;&lt;summary&gt;À partir de quel âge ?&lt;/summary&gt;&lt;p&gt;Conseillé dès 3 ans ; les tout-petits sous la surveillance d'un adulte (petites pièces).&lt;/p&gt;&lt;/details&gt;
  &lt;details&gt;&lt;summary&gt;C'est vraiment réutilisable ?&lt;/summary&gt;&lt;p&gt;Oui : une fois sec, le livre redevient blanc et se recolorie.&lt;/p&gt;&lt;/details&gt;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18">
      <c r="A18" s="57" t="inlineStr">
        <is>
          <t>coloriage-magique-5</t>
        </is>
      </c>
      <c r="B18" s="117" t="inlineStr">
        <is>
          <t>coloriage magique</t>
        </is>
      </c>
      <c r="C18" s="117" t="inlineStr">
        <is>
          <t>Coloriage magique à l'eau, stylo rechargeable</t>
        </is>
      </c>
      <c r="D18" s="117" t="inlineStr">
        <is>
          <t>https://fr.aliexpress.com/item/1005010339226025.html</t>
        </is>
      </c>
      <c r="E18" s="156" t="n">
        <v>3.89</v>
      </c>
      <c r="F18" s="156" t="n">
        <v>0</v>
      </c>
      <c r="G18" s="156">
        <f>IF(OR(E18="",F18=""),"",E18+F18)</f>
        <v/>
      </c>
      <c r="H18" s="156">
        <f>IFERROR(VLOOKUP(B18,'Collections'!$C$4:$L$18,10,FALSE),"")</f>
        <v/>
      </c>
      <c r="I18" s="162">
        <f>IFERROR(H18/G18,"")</f>
        <v/>
      </c>
      <c r="J18" s="163" t="n">
        <v>4.7</v>
      </c>
      <c r="K18" s="151" t="n">
        <v>3000</v>
      </c>
      <c r="L18" s="117" t="inlineStr">
        <is>
          <t>Choice — vendeur agrégé</t>
        </is>
      </c>
      <c r="M18" s="117" t="inlineStr">
        <is>
          <t>16-19 juil. (~6-9 j)</t>
        </is>
      </c>
      <c r="N18" s="117" t="inlineStr">
        <is>
          <t>Choice</t>
        </is>
      </c>
      <c r="O18" s="117" t="inlineStr">
        <is>
          <t>Couleur: 1pc pen random</t>
        </is>
      </c>
      <c r="P18" s="117" t="inlineStr">
        <is>
          <t>Coloriage à l'eau, stylo rechargeable — réutilisable</t>
        </is>
      </c>
      <c r="Q18" s="117" t="inlineStr">
        <is>
          <t>JOUET ENFANT : conformité CE/EN71 + GPSR requise ; risque suffocation (petites pièces) ; exiger docs conformité fournisseur. Visuels génériques (OK licence).</t>
        </is>
      </c>
      <c r="R18" s="117" t="inlineStr">
        <is>
          <t>Retenir</t>
        </is>
      </c>
      <c r="S18" s="164" t="n">
        <v>46213</v>
      </c>
      <c r="T18" s="59" t="inlineStr">
        <is>
          <t>AliExpress Choice ; livraison gratuite dès 10€ ; note agrégée</t>
        </is>
      </c>
      <c r="U18" s="117" t="inlineStr">
        <is>
          <t>PACKSHOT — Hero packshot of the kids activity product «Coloriage magique à l'eau, stylo rechargeable» (magic water / reusable), centered on clean bright pastel background, soft shadow, ultra-sharp, soft pastel kawaii brand aesthetic, cohesive palette (blush pink, cream, mint, lilac), 1:1.
LIFESTYLE — A happy child using «Coloriage magique à l'eau, stylo rechargeable» at a bright playful table, colorful, safe, soft daylight, top-down, soft pastel kawaii brand aesthetic, cohesive palette (blush pink, cream, mint, lilac), 1:1.
EN SITUATION — Close-up of little hands revealing colors on a kids magic-water page of «Coloriage magique à l'eau, stylo rechargeable», joyful, shallow depth of field.
DÉTAIL — Macro of «Coloriage magique à l'eau, stylo rechargeable» pages and the water pen, cute kids magic-water illustrations, crisp, colorful.
FEATURE — Clean feature image of «Coloriage magique à l'eau, stylo rechargeable» with playful callouts (no mess, reusable, ages 3+), pastel palette, negative space.</t>
        </is>
      </c>
      <c r="V18" t="inlineStr">
        <is>
          <t>.../outputs/coloriage-kawaii-arborescence-2026-07-09/images_produits/18_coloriage-magique_1005010339226025</t>
        </is>
      </c>
      <c r="W18" t="inlineStr">
        <is>
          <t>Coloriage magique magique à l'eau, stylo rechargeable | [Marque]</t>
        </is>
      </c>
      <c r="X18" t="inlineStr">
        <is>
          <t>magique à l'eau, stylo rechargeable — coloriage magique | [</t>
        </is>
      </c>
      <c r="Y18" t="inlineStr">
        <is>
          <t>magique à l'eau, stylo rechargeable : à l'eau, réutilisable, sans tache. Livraison rapide, avis vérifiés. Commandez sur [Marque] !</t>
        </is>
      </c>
      <c r="Z18" s="117" t="inlineStr">
        <is>
          <t>&lt;div class="product-desc"&gt;
  &lt;p&gt;Coloriage magique &lt;strong&gt;« magique à l'eau, stylo rechargeable »&lt;/strong&gt; — à l'eau, réutilisable, sans tache.&lt;/p&gt;
  &lt;p&gt;&lt;strong&gt;Un cadeau créatif qui plaît vraiment aux enfants ?&lt;/strong&gt;&lt;/p&gt;
  &lt;h3&gt;✅ Zéro tache, 100% amusement&lt;/h3&gt;
  &lt;p&gt;Coloriage à l'eau : l'enfant peint avec de l'eau, les couleurs apparaissent, puis s'effacent en séchant — réutilisable à l'infini.&lt;/p&gt;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magique à l'eau réutilisable&lt;/li&gt;
    &lt;li&gt;&lt;strong&gt;Âge conseillé :&lt;/strong&gt; Dès 3 ans (petites pièces : sous surveillance)&lt;/li&gt;
    &lt;li&gt;&lt;strong&gt;Contenu :&lt;/strong&gt; 1 livre + 1 stylo à eau&lt;/li&gt;
    &lt;li&gt;&lt;strong&gt;Illustrations :&lt;/strong&gt; Génériques et mignonnes&lt;/li&gt;
    &lt;li&gt;&lt;strong&gt;Entretien :&lt;/strong&gt; Sèche et se réutilise&lt;/li&gt;
  &lt;/ul&gt;
  &lt;h3&gt;❓ Questions fréquentes&lt;/h3&gt;
  &lt;details&gt;&lt;summary&gt;À partir de quel âge ?&lt;/summary&gt;&lt;p&gt;Conseillé dès 3 ans ; les tout-petits sous la surveillance d'un adulte (petites pièces).&lt;/p&gt;&lt;/details&gt;
  &lt;details&gt;&lt;summary&gt;C'est vraiment réutilisable ?&lt;/summary&gt;&lt;p&gt;Oui : une fois sec, le livre redevient blanc et se recolorie.&lt;/p&gt;&lt;/details&gt;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19">
      <c r="A19" s="57" t="inlineStr">
        <is>
          <t>coloriage-mystere-1</t>
        </is>
      </c>
      <c r="B19" s="117" t="inlineStr">
        <is>
          <t>coloriage mystere</t>
        </is>
      </c>
      <c r="C19" s="117" t="inlineStr">
        <is>
          <t>Coloriage mystère par numéros / pixel art (32 p.)</t>
        </is>
      </c>
      <c r="D19" s="117" t="inlineStr">
        <is>
          <t>https://fr.aliexpress.com/item/1005012095689316.html</t>
        </is>
      </c>
      <c r="E19" s="156" t="n">
        <v>7.69</v>
      </c>
      <c r="F19" s="156" t="n">
        <v>0</v>
      </c>
      <c r="G19" s="156">
        <f>IF(OR(E19="",F19=""),"",E19+F19)</f>
        <v/>
      </c>
      <c r="H19" s="156">
        <f>IFERROR(VLOOKUP(B19,'Collections'!$C$4:$L$18,10,FALSE),"")</f>
        <v/>
      </c>
      <c r="I19" s="162">
        <f>IFERROR(H19/G19,"")</f>
        <v/>
      </c>
      <c r="J19" s="163" t="n">
        <v>4.9</v>
      </c>
      <c r="K19" s="151" t="n">
        <v>1000</v>
      </c>
      <c r="L19" s="117" t="inlineStr">
        <is>
          <t>Choice — vendeur agrégé</t>
        </is>
      </c>
      <c r="M19" s="117" t="inlineStr">
        <is>
          <t>18-23 juil. (~8-13 j)</t>
        </is>
      </c>
      <c r="N19" s="117" t="inlineStr">
        <is>
          <t>Choice</t>
        </is>
      </c>
      <c r="O19" s="117" t="inlineStr">
        <is>
          <t>Couleur: 32 Pages</t>
        </is>
      </c>
      <c r="P19" s="117" t="inlineStr">
        <is>
          <t>Coloriage mystère par numéros / pixel art — révélation du motif</t>
        </is>
      </c>
      <c r="Q19" s="117" t="inlineStr">
        <is>
          <t>Livre papier, visuels génériques (OK licence). Vérifier texte intérieur minimal (langue).</t>
        </is>
      </c>
      <c r="R19" s="117" t="inlineStr">
        <is>
          <t>Retenir</t>
        </is>
      </c>
      <c r="S19" s="164" t="n">
        <v>46213</v>
      </c>
      <c r="T19" s="59" t="inlineStr">
        <is>
          <t>AliExpress Choice ; livraison gratuite dès 10€ ; note agrégée</t>
        </is>
      </c>
      <c r="U19" s="117" t="inlineStr">
        <is>
          <t>PACKSHOT — E-commerce hero packshot of the coloring book «Coloriage mystère par numéros / pixel art (32 p.)», cover facing forward, centered on a clean seamless pastel background, soft studio shadow, ultra-sharp, soft pastel kawaii brand aesthetic, cohesive palette (blush pink, cream, mint, lilac), 1:1 square.
LIFESTYLE — Top-down flat-lay of «Coloriage mystère par numéros / pixel art (32 p.)» on a cozy pastel desk with colored pencils, a warm drink and a small plush, soft natural morning light, hygge kawaii mood, soft pastel kawaii brand aesthetic, cohesive palette (blush pink, cream, mint, lilac), 1:1.
EN SITUATION — Close-up of a person's hands coloring a color-by-number page from «Coloriage mystère par numéros / pixel art (32 p.)», cozy blanket, shallow depth of field, warm soft tones.
DÉTAIL — Macro of the open inner pages of «Coloriage mystère par numéros / pixel art (32 p.)» showing cute color-by-number line-art illustrations, crisp lines, shallow depth of field.
FEATURE — Clean product feature image of «Coloriage mystère par numéros / pixel art (32 p.)» standing upright with minimal text callouts (page count, thick paper, anti-stress), soft pastel kawaii brand aesthetic, cohesive palette (blush pink, cream, mint, lilac), generous negative space for headline.</t>
        </is>
      </c>
      <c r="V19" t="inlineStr">
        <is>
          <t>.../outputs/coloriage-kawaii-arborescence-2026-07-09/images_produits/19_coloriage-mystere_1005012095689316</t>
        </is>
      </c>
      <c r="W19" t="inlineStr">
        <is>
          <t>Coloriage mystère mystère par numéros / pixel art (32 p.) | [Marque]</t>
        </is>
      </c>
      <c r="X19" t="inlineStr">
        <is>
          <t>mystère par numéros / pixel art (32 p.) — coloriage mystère</t>
        </is>
      </c>
      <c r="Y19" t="inlineStr">
        <is>
          <t>mystère par numéros / pixel art (32 p.) : motifs à révéler, hypnotique. Livraison rapide, avis vérifiés. Commandez sur [Marque] !</t>
        </is>
      </c>
      <c r="Z19" s="117" t="inlineStr">
        <is>
          <t>&lt;div class="product-desc"&gt;
  &lt;p&gt;Coloriage mystère &lt;strong&gt;« mystère par numéros / pixel art (32 p.) »&lt;/strong&gt; — motifs à révéler, hypnotique.&lt;/p&gt;
  &lt;p&gt;&lt;strong&gt;Envie de déconnecter et de vous détendre un crayon à la main ?&lt;/strong&gt;&lt;/p&gt;
  &lt;h3&gt;✅ Une vraie parenthèse détente&lt;/h3&gt;
  &lt;p&gt;Ce livre de mystère (motifs à révéler) aide à relâcher la pression : on se concentre sur les couleurs, le mental se pose. Idéal le soir ou le week-end.&lt;/p&gt;
  &lt;h3&gt;✅ Des illustrations originales et mignonnes&lt;/h3&gt;
  &lt;p&gt;Des pages au style mystère (motifs à révéler),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32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0">
      <c r="A20" s="57" t="inlineStr">
        <is>
          <t>coloriage-mystere-2</t>
        </is>
      </c>
      <c r="B20" s="117" t="inlineStr">
        <is>
          <t>coloriage mystere</t>
        </is>
      </c>
      <c r="C20" s="117" t="inlineStr">
        <is>
          <t>Coloriage mandala animalier (24 p.)</t>
        </is>
      </c>
      <c r="D20" s="117" t="inlineStr">
        <is>
          <t>https://fr.aliexpress.com/item/1005010439360494.html</t>
        </is>
      </c>
      <c r="E20" s="156" t="n">
        <v>6.89</v>
      </c>
      <c r="F20" s="156" t="n">
        <v>0</v>
      </c>
      <c r="G20" s="156">
        <f>IF(OR(E20="",F20=""),"",E20+F20)</f>
        <v/>
      </c>
      <c r="H20" s="156">
        <f>IFERROR(VLOOKUP(B20,'Collections'!$C$4:$L$18,10,FALSE),"")</f>
        <v/>
      </c>
      <c r="I20" s="162">
        <f>IFERROR(H20/G20,"")</f>
        <v/>
      </c>
      <c r="J20" s="163" t="n">
        <v>4.9</v>
      </c>
      <c r="K20" s="151" t="n">
        <v>800</v>
      </c>
      <c r="L20" s="117" t="inlineStr">
        <is>
          <t>Choice — vendeur agrégé</t>
        </is>
      </c>
      <c r="M20" s="117" t="inlineStr">
        <is>
          <t>16-19 juil. (~6-9 j)</t>
        </is>
      </c>
      <c r="N20" s="117" t="inlineStr">
        <is>
          <t>Choice</t>
        </is>
      </c>
      <c r="O20" s="117" t="inlineStr">
        <is>
          <t>Couleur: X1-1097</t>
        </is>
      </c>
      <c r="P20" s="117" t="inlineStr">
        <is>
          <t>Mandala animalier détaillé — anti-stress méditatif</t>
        </is>
      </c>
      <c r="Q20" s="117" t="inlineStr">
        <is>
          <t>Livre papier, visuels génériques (OK licence). Vérifier texte intérieur minimal (langue).</t>
        </is>
      </c>
      <c r="R20" s="117" t="inlineStr">
        <is>
          <t>Retenir</t>
        </is>
      </c>
      <c r="S20" s="164" t="n">
        <v>46213</v>
      </c>
      <c r="T20" s="59" t="inlineStr">
        <is>
          <t>AliExpress Choice ; livraison gratuite dès 10€ ; note agrégée ; thème 'mystère' approximatif (cozy générique)</t>
        </is>
      </c>
      <c r="U20" s="117" t="inlineStr">
        <is>
          <t>PACKSHOT — E-commerce hero packshot of the coloring book «Coloriage mandala animalier (24 p.)», cover facing forward, centered on a clean seamless pastel background, soft studio shadow, ultra-sharp, soft pastel kawaii brand aesthetic, cohesive palette (blush pink, cream, mint, lilac), 1:1 square.
LIFESTYLE — Top-down flat-lay of «Coloriage mandala animalier (24 p.)» on a cozy pastel desk with colored pencils, a warm drink and a small plush, soft natural morning light, hygge kawaii mood, soft pastel kawaii brand aesthetic, cohesive palette (blush pink, cream, mint, lilac), 1:1.
EN SITUATION — Close-up of a person's hands coloring a color-by-number page from «Coloriage mandala animalier (24 p.)», cozy blanket, shallow depth of field, warm soft tones.
DÉTAIL — Macro of the open inner pages of «Coloriage mandala animalier (24 p.)» showing cute color-by-number line-art illustrations, crisp lines, shallow depth of field.
FEATURE — Clean product feature image of «Coloriage mandala animalier (24 p.)» standing upright with minimal text callouts (page count, thick paper, anti-stress), soft pastel kawaii brand aesthetic, cohesive palette (blush pink, cream, mint, lilac), generous negative space for headline.</t>
        </is>
      </c>
      <c r="V20" t="inlineStr">
        <is>
          <t>.../outputs/coloriage-kawaii-arborescence-2026-07-09/images_produits/20_coloriage-mystere_1005010439360494</t>
        </is>
      </c>
      <c r="W20" t="inlineStr">
        <is>
          <t>Coloriage mystère mandala animalier (24 p.) | [Marque]</t>
        </is>
      </c>
      <c r="X20" t="inlineStr">
        <is>
          <t>mandala animalier (24 p.) — coloriage mystère | [Marque]</t>
        </is>
      </c>
      <c r="Y20" t="inlineStr">
        <is>
          <t>mandala animalier (24 p.) : motifs à révéler, hypnotique. Livraison rapide, avis vérifiés. Commandez sur [Marque] !</t>
        </is>
      </c>
      <c r="Z20" s="117" t="inlineStr">
        <is>
          <t>&lt;div class="product-desc"&gt;
  &lt;p&gt;Coloriage mystère &lt;strong&gt;« mandala animalier (24 p.) »&lt;/strong&gt; — motifs à révéler, hypnotique.&lt;/p&gt;
  &lt;p&gt;&lt;strong&gt;Et si 15 minutes de coloriage remplaçaient le scroll du soir ?&lt;/strong&gt;&lt;/p&gt;
  &lt;h3&gt;✅ Une vraie parenthèse détente&lt;/h3&gt;
  &lt;p&gt;Ce livre de mystère (motifs à révéler) aide à relâcher la pression : on se concentre sur les couleurs, le mental se pose. Idéal le soir ou le week-end.&lt;/p&gt;
  &lt;h3&gt;✅ Des illustrations originales et mignonnes&lt;/h3&gt;
  &lt;p&gt;Des pages au style mystère (motifs à révéler),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24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1">
      <c r="A21" s="57" t="inlineStr">
        <is>
          <t>coloriage-mystere-3</t>
        </is>
      </c>
      <c r="B21" s="117" t="inlineStr">
        <is>
          <t>coloriage mystere</t>
        </is>
      </c>
      <c r="C21" s="117" t="inlineStr">
        <is>
          <t>Coloriage relaxant cozy (adulte/ado)</t>
        </is>
      </c>
      <c r="D21" s="117" t="inlineStr">
        <is>
          <t>https://fr.aliexpress.com/item/1005008181781658.html</t>
        </is>
      </c>
      <c r="E21" s="156" t="n">
        <v>8.289999999999999</v>
      </c>
      <c r="F21" s="156" t="n">
        <v>0</v>
      </c>
      <c r="G21" s="156">
        <f>IF(OR(E21="",F21=""),"",E21+F21)</f>
        <v/>
      </c>
      <c r="H21" s="156">
        <f>IFERROR(VLOOKUP(B21,'Collections'!$C$4:$L$18,10,FALSE),"")</f>
        <v/>
      </c>
      <c r="I21" s="162">
        <f>IFERROR(H21/G21,"")</f>
        <v/>
      </c>
      <c r="J21" s="163" t="n">
        <v>4.7</v>
      </c>
      <c r="K21" s="151" t="n">
        <v>1000</v>
      </c>
      <c r="L21" s="117" t="inlineStr">
        <is>
          <t>Choice — vendeur agrégé</t>
        </is>
      </c>
      <c r="M21" s="117" t="inlineStr">
        <is>
          <t>16-19 juil. (~6-9 j)</t>
        </is>
      </c>
      <c r="N21" s="117" t="inlineStr">
        <is>
          <t>Choice</t>
        </is>
      </c>
      <c r="O21" s="117" t="inlineStr">
        <is>
          <t>Couleur: StyleA</t>
        </is>
      </c>
      <c r="P21" s="117" t="inlineStr">
        <is>
          <t>Coloriage cozy relaxation — détente adulte</t>
        </is>
      </c>
      <c r="Q21" s="117" t="inlineStr">
        <is>
          <t>Livre papier, visuels génériques (OK licence). Vérifier texte intérieur minimal (langue).</t>
        </is>
      </c>
      <c r="R21" s="117" t="inlineStr">
        <is>
          <t>Retenir</t>
        </is>
      </c>
      <c r="S21" s="164" t="n">
        <v>46213</v>
      </c>
      <c r="T21" s="59" t="inlineStr">
        <is>
          <t>AliExpress Choice ; livraison gratuite dès 10€ ; note agrégée ; thème 'mystère' approximatif (cozy générique)</t>
        </is>
      </c>
      <c r="U21" s="117" t="inlineStr">
        <is>
          <t>PACKSHOT — E-commerce hero packshot of the coloring book «Coloriage relaxant cozy (adulte/ado)», cover facing forward, centered on a clean seamless pastel background, soft studio shadow, ultra-sharp, soft pastel kawaii brand aesthetic, cohesive palette (blush pink, cream, mint, lilac), 1:1 square.
LIFESTYLE — Top-down flat-lay of «Coloriage relaxant cozy (adulte/ado)» on a cozy pastel desk with colored pencils, a warm drink and a small plush, soft natural morning light, hygge kawaii mood, soft pastel kawaii brand aesthetic, cohesive palette (blush pink, cream, mint, lilac), 1:1.
EN SITUATION — Close-up of a person's hands coloring a color-by-number page from «Coloriage relaxant cozy (adulte/ado)», cozy blanket, shallow depth of field, warm soft tones.
DÉTAIL — Macro of the open inner pages of «Coloriage relaxant cozy (adulte/ado)» showing cute color-by-number line-art illustrations, crisp lines, shallow depth of field.
FEATURE — Clean product feature image of «Coloriage relaxant cozy (adulte/ado)» standing upright with minimal text callouts (page count, thick paper, anti-stress), soft pastel kawaii brand aesthetic, cohesive palette (blush pink, cream, mint, lilac), generous negative space for headline.</t>
        </is>
      </c>
      <c r="V21" t="inlineStr">
        <is>
          <t>.../outputs/coloriage-kawaii-arborescence-2026-07-09/images_produits/21_coloriage-mystere_1005008181781658</t>
        </is>
      </c>
      <c r="W21" t="inlineStr">
        <is>
          <t>Coloriage mystère relaxant cozy (adulte/ado) | [Marque]</t>
        </is>
      </c>
      <c r="X21" t="inlineStr">
        <is>
          <t>relaxant cozy (adulte/ado) — coloriage mystère | [Marque]</t>
        </is>
      </c>
      <c r="Y21" t="inlineStr">
        <is>
          <t>relaxant cozy (adulte/ado) : motifs à révéler, hypnotique. Livraison rapide, avis vérifiés. Commandez sur [Marque] !</t>
        </is>
      </c>
      <c r="Z21" s="117" t="inlineStr">
        <is>
          <t>&lt;div class="product-desc"&gt;
  &lt;p&gt;Coloriage mystère &lt;strong&gt;« relaxant cozy (adulte/ado) »&lt;/strong&gt; — motifs à révéler, hypnotique.&lt;/p&gt;
  &lt;p&gt;&lt;strong&gt;Besoin d'une pause créative, loin des écrans ?&lt;/strong&gt;&lt;/p&gt;
  &lt;h3&gt;✅ Une vraie parenthèse détente&lt;/h3&gt;
  &lt;p&gt;Ce livre de mystère (motifs à révéler) aide à relâcher la pression : on se concentre sur les couleurs, le mental se pose. Idéal le soir ou le week-end.&lt;/p&gt;
  &lt;h3&gt;✅ Des illustrations originales et mignonnes&lt;/h3&gt;
  &lt;p&gt;Des pages au style mystère (motifs à révéler),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2">
      <c r="A22" s="57" t="inlineStr">
        <is>
          <t>coloriage-mystere-4</t>
        </is>
      </c>
      <c r="B22" s="117" t="inlineStr">
        <is>
          <t>coloriage mystere</t>
        </is>
      </c>
      <c r="C22" s="117" t="inlineStr">
        <is>
          <t>Coloriage cœurs d'amour (relaxation)</t>
        </is>
      </c>
      <c r="D22" s="117" t="inlineStr">
        <is>
          <t>https://fr.aliexpress.com/item/1005008584168299.html</t>
        </is>
      </c>
      <c r="E22" s="156" t="n">
        <v>6.19</v>
      </c>
      <c r="F22" s="156" t="n">
        <v>0</v>
      </c>
      <c r="G22" s="156">
        <f>IF(OR(E22="",F22=""),"",E22+F22)</f>
        <v/>
      </c>
      <c r="H22" s="156">
        <f>IFERROR(VLOOKUP(B22,'Collections'!$C$4:$L$18,10,FALSE),"")</f>
        <v/>
      </c>
      <c r="I22" s="162">
        <f>IFERROR(H22/G22,"")</f>
        <v/>
      </c>
      <c r="J22" s="163" t="n">
        <v>4.7</v>
      </c>
      <c r="K22" s="151" t="n">
        <v>1000</v>
      </c>
      <c r="L22" s="117" t="inlineStr">
        <is>
          <t>Choice — vendeur agrégé</t>
        </is>
      </c>
      <c r="M22" s="117" t="inlineStr">
        <is>
          <t>16-19 juil. (~6-9 j)</t>
        </is>
      </c>
      <c r="N22" s="117" t="inlineStr">
        <is>
          <t>Choice</t>
        </is>
      </c>
      <c r="O22" s="117" t="inlineStr">
        <is>
          <t>Couleur: X1-663</t>
        </is>
      </c>
      <c r="P22" s="117" t="inlineStr">
        <is>
          <t>Coloriage amour / cœurs — cadeau détente</t>
        </is>
      </c>
      <c r="Q22" s="117" t="inlineStr">
        <is>
          <t>Livre papier, visuels génériques (OK licence). Vérifier texte intérieur minimal (langue).</t>
        </is>
      </c>
      <c r="R22" s="117" t="inlineStr">
        <is>
          <t>Retenir</t>
        </is>
      </c>
      <c r="S22" s="164" t="n">
        <v>46213</v>
      </c>
      <c r="T22" s="59" t="inlineStr">
        <is>
          <t>AliExpress Choice ; livraison gratuite dès 10€ ; note agrégée ; thème 'mystère' approximatif (cozy générique)</t>
        </is>
      </c>
      <c r="U22" s="117" t="inlineStr">
        <is>
          <t>PACKSHOT — E-commerce hero packshot of the coloring book «Coloriage cœurs d'amour (relaxation)», cover facing forward, centered on a clean seamless pastel background, soft studio shadow, ultra-sharp, soft pastel kawaii brand aesthetic, cohesive palette (blush pink, cream, mint, lilac), 1:1 square.
LIFESTYLE — Top-down flat-lay of «Coloriage cœurs d'amour (relaxation)» on a cozy pastel desk with colored pencils, a warm drink and a small plush, soft natural morning light, hygge kawaii mood, soft pastel kawaii brand aesthetic, cohesive palette (blush pink, cream, mint, lilac), 1:1.
EN SITUATION — Close-up of a person's hands coloring a color-by-number page from «Coloriage cœurs d'amour (relaxation)», cozy blanket, shallow depth of field, warm soft tones.
DÉTAIL — Macro of the open inner pages of «Coloriage cœurs d'amour (relaxation)» showing cute color-by-number line-art illustrations, crisp lines, shallow depth of field.
FEATURE — Clean product feature image of «Coloriage cœurs d'amour (relaxation)» standing upright with minimal text callouts (page count, thick paper, anti-stress), soft pastel kawaii brand aesthetic, cohesive palette (blush pink, cream, mint, lilac), generous negative space for headline.</t>
        </is>
      </c>
      <c r="V22" t="inlineStr">
        <is>
          <t>.../outputs/coloriage-kawaii-arborescence-2026-07-09/images_produits/22_coloriage-mystere_1005008584168299</t>
        </is>
      </c>
      <c r="W22" t="inlineStr">
        <is>
          <t>Coloriage mystère cœurs d'amour (relaxation) | [Marque]</t>
        </is>
      </c>
      <c r="X22" t="inlineStr">
        <is>
          <t>cœurs d'amour (relaxation) — coloriage mystère | [Marque]</t>
        </is>
      </c>
      <c r="Y22" t="inlineStr">
        <is>
          <t>cœurs d'amour (relaxation) : motifs à révéler, hypnotique. Livraison rapide, avis vérifiés. Commandez sur [Marque] !</t>
        </is>
      </c>
      <c r="Z22" s="117" t="inlineStr">
        <is>
          <t>&lt;div class="product-desc"&gt;
  &lt;p&gt;Coloriage mystère &lt;strong&gt;« cœurs d'amour (relaxation) »&lt;/strong&gt; — motifs à révéler, hypnotique.&lt;/p&gt;
  &lt;p&gt;&lt;strong&gt;Envie de déconnecter et de vous détendre un crayon à la main ?&lt;/strong&gt;&lt;/p&gt;
  &lt;h3&gt;✅ Une vraie parenthèse détente&lt;/h3&gt;
  &lt;p&gt;Ce livre de mystère (motifs à révéler) aide à relâcher la pression : on se concentre sur les couleurs, le mental se pose. Idéal le soir ou le week-end.&lt;/p&gt;
  &lt;h3&gt;✅ Des illustrations originales et mignonnes&lt;/h3&gt;
  &lt;p&gt;Des pages au style mystère (motifs à révéler),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3">
      <c r="A23" s="57" t="inlineStr">
        <is>
          <t>coloriage-mystere-5</t>
        </is>
      </c>
      <c r="B23" s="117" t="inlineStr">
        <is>
          <t>coloriage mystere</t>
        </is>
      </c>
      <c r="C23" s="117" t="inlineStr">
        <is>
          <t>Coloriage papillons &amp; fleurs (24 p.)</t>
        </is>
      </c>
      <c r="D23" s="117" t="inlineStr">
        <is>
          <t>https://fr.aliexpress.com/item/1005008589263587.html</t>
        </is>
      </c>
      <c r="E23" s="156" t="n">
        <v>6.79</v>
      </c>
      <c r="F23" s="156" t="n">
        <v>0</v>
      </c>
      <c r="G23" s="156">
        <f>IF(OR(E23="",F23=""),"",E23+F23)</f>
        <v/>
      </c>
      <c r="H23" s="156">
        <f>IFERROR(VLOOKUP(B23,'Collections'!$C$4:$L$18,10,FALSE),"")</f>
        <v/>
      </c>
      <c r="I23" s="162">
        <f>IFERROR(H23/G23,"")</f>
        <v/>
      </c>
      <c r="J23" s="163" t="n">
        <v>4.7</v>
      </c>
      <c r="K23" s="151" t="n">
        <v>500</v>
      </c>
      <c r="L23" s="117" t="inlineStr">
        <is>
          <t>Choice — vendeur agrégé</t>
        </is>
      </c>
      <c r="M23" s="117" t="inlineStr">
        <is>
          <t>16-19 juil. (~6-9 j)</t>
        </is>
      </c>
      <c r="N23" s="117" t="inlineStr">
        <is>
          <t>Choice</t>
        </is>
      </c>
      <c r="O23" s="117" t="inlineStr">
        <is>
          <t>Couleur: X1-550</t>
        </is>
      </c>
      <c r="P23" s="117" t="inlineStr">
        <is>
          <t>Coloriage papillons &amp; fleurs — nature apaisante</t>
        </is>
      </c>
      <c r="Q23" s="117" t="inlineStr">
        <is>
          <t>Livre papier, visuels génériques (OK licence). Vérifier texte intérieur minimal (langue).</t>
        </is>
      </c>
      <c r="R23" s="117" t="inlineStr">
        <is>
          <t>Retenir</t>
        </is>
      </c>
      <c r="S23" s="164" t="n">
        <v>46213</v>
      </c>
      <c r="T23" s="59" t="inlineStr">
        <is>
          <t>AliExpress Choice ; livraison gratuite dès 10€ ; note agrégée ; thème 'mystère' approximatif (cozy générique)</t>
        </is>
      </c>
      <c r="U23" s="117" t="inlineStr">
        <is>
          <t>PACKSHOT — E-commerce hero packshot of the coloring book «Coloriage papillons &amp; fleurs (24 p.)», cover facing forward, centered on a clean seamless pastel background, soft studio shadow, ultra-sharp, soft pastel kawaii brand aesthetic, cohesive palette (blush pink, cream, mint, lilac), 1:1 square.
LIFESTYLE — Top-down flat-lay of «Coloriage papillons &amp; fleurs (24 p.)» on a cozy pastel desk with colored pencils, a warm drink and a small plush, soft natural morning light, hygge kawaii mood, soft pastel kawaii brand aesthetic, cohesive palette (blush pink, cream, mint, lilac), 1:1.
EN SITUATION — Close-up of a person's hands coloring a color-by-number page from «Coloriage papillons &amp; fleurs (24 p.)», cozy blanket, shallow depth of field, warm soft tones.
DÉTAIL — Macro of the open inner pages of «Coloriage papillons &amp; fleurs (24 p.)» showing cute color-by-number line-art illustrations, crisp lines, shallow depth of field.
FEATURE — Clean product feature image of «Coloriage papillons &amp; fleurs (24 p.)» standing upright with minimal text callouts (page count, thick paper, anti-stress), soft pastel kawaii brand aesthetic, cohesive palette (blush pink, cream, mint, lilac), generous negative space for headline.</t>
        </is>
      </c>
      <c r="V23" t="inlineStr">
        <is>
          <t>.../outputs/coloriage-kawaii-arborescence-2026-07-09/images_produits/23_coloriage-mystere_1005008589263587</t>
        </is>
      </c>
      <c r="W23" t="inlineStr">
        <is>
          <t>Coloriage mystère papillons &amp; fleurs (24 p.) | [Marque]</t>
        </is>
      </c>
      <c r="X23" t="inlineStr">
        <is>
          <t>papillons &amp; fleurs (24 p.) — coloriage mystère | [Marque]</t>
        </is>
      </c>
      <c r="Y23" t="inlineStr">
        <is>
          <t>papillons &amp; fleurs (24 p.) : motifs à révéler, hypnotique. Livraison rapide, avis vérifiés. Commandez sur [Marque] !</t>
        </is>
      </c>
      <c r="Z23" s="117" t="inlineStr">
        <is>
          <t>&lt;div class="product-desc"&gt;
  &lt;p&gt;Coloriage mystère &lt;strong&gt;« papillons &amp;amp; fleurs (24 p.) »&lt;/strong&gt; — motifs à révéler, hypnotique.&lt;/p&gt;
  &lt;p&gt;&lt;strong&gt;Et si 15 minutes de coloriage remplaçaient le scroll du soir ?&lt;/strong&gt;&lt;/p&gt;
  &lt;h3&gt;✅ Une vraie parenthèse détente&lt;/h3&gt;
  &lt;p&gt;Ce livre de mystère (motifs à révéler) aide à relâcher la pression : on se concentre sur les couleurs, le mental se pose. Idéal le soir ou le week-end.&lt;/p&gt;
  &lt;h3&gt;✅ Des illustrations originales et mignonnes&lt;/h3&gt;
  &lt;p&gt;Des pages au style mystère (motifs à révéler),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24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4">
      <c r="A24" s="57" t="inlineStr">
        <is>
          <t>coloriage-cosy-1</t>
        </is>
      </c>
      <c r="B24" s="117" t="inlineStr">
        <is>
          <t>coloriage cosy</t>
        </is>
      </c>
      <c r="C24" s="117" t="inlineStr">
        <is>
          <t>Coloriage cozy 'Cozy Girl Vibes' (adulte)</t>
        </is>
      </c>
      <c r="D24" s="117" t="inlineStr">
        <is>
          <t>https://fr.aliexpress.com/item/1005008721115511.html</t>
        </is>
      </c>
      <c r="E24" s="156" t="n">
        <v>6.69</v>
      </c>
      <c r="F24" s="156" t="n">
        <v>0</v>
      </c>
      <c r="G24" s="156">
        <f>IF(OR(E24="",F24=""),"",E24+F24)</f>
        <v/>
      </c>
      <c r="H24" s="156">
        <f>IFERROR(VLOOKUP(B24,'Collections'!$C$4:$L$18,10,FALSE),"")</f>
        <v/>
      </c>
      <c r="I24" s="162">
        <f>IFERROR(H24/G24,"")</f>
        <v/>
      </c>
      <c r="J24" s="163" t="n">
        <v>4.9</v>
      </c>
      <c r="K24" s="151" t="n">
        <v>2000</v>
      </c>
      <c r="L24" s="117" t="inlineStr">
        <is>
          <t>Choice — vendeur agrégé</t>
        </is>
      </c>
      <c r="M24" s="117" t="inlineStr">
        <is>
          <t>16-20 juil. (~6-10 j)</t>
        </is>
      </c>
      <c r="N24" s="117" t="inlineStr">
        <is>
          <t>Choice</t>
        </is>
      </c>
      <c r="O24" s="117" t="inlineStr">
        <is>
          <t>Standard</t>
        </is>
      </c>
      <c r="P24" s="117" t="inlineStr">
        <is>
          <t>Coloriage cozy 'girl vibes' — scènes quotidiennes relaxantes</t>
        </is>
      </c>
      <c r="Q24" s="117" t="inlineStr">
        <is>
          <t>Livre papier, visuels génériques (OK licence). Vérifier texte intérieur minimal (langue).</t>
        </is>
      </c>
      <c r="R24" s="117" t="inlineStr">
        <is>
          <t>Retenir</t>
        </is>
      </c>
      <c r="S24" s="164" t="n">
        <v>46213</v>
      </c>
      <c r="T24" s="59" t="inlineStr">
        <is>
          <t>AliExpress Choice ; livraison gratuite dès 10€ ; note agrégée</t>
        </is>
      </c>
      <c r="U24" s="117" t="inlineStr">
        <is>
          <t>PACKSHOT — E-commerce hero packshot of the coloring book «Coloriage cozy 'Cozy Girl Vibes' (adulte)», cover facing forward, centered on a clean seamless pastel background, soft studio shadow, ultra-sharp, soft pastel kawaii brand aesthetic, cohesive palette (blush pink, cream, mint, lilac), 1:1 square.
LIFESTYLE — Top-down flat-lay of «Coloriage cozy 'Cozy Girl Vibes' (adulte)» on a cozy pastel desk with colored pencils, a warm drink and a small plush, soft natural morning light, hygge kawaii mood, soft pastel kawaii brand aesthetic, cohesive palette (blush pink, cream, mint, lilac), 1:1.
EN SITUATION — Close-up of a person's hands coloring a cozy hygge page from «Coloriage cozy 'Cozy Girl Vibes' (adulte)», cozy blanket, shallow depth of field, warm soft tones.
DÉTAIL — Macro of the open inner pages of «Coloriage cozy 'Cozy Girl Vibes' (adulte)» showing cute cozy hygge line-art illustrations, crisp lines, shallow depth of field.
FEATURE — Clean product feature image of «Coloriage cozy 'Cozy Girl Vibes' (adulte)» standing upright with minimal text callouts (page count, thick paper, anti-stress), soft pastel kawaii brand aesthetic, cohesive palette (blush pink, cream, mint, lilac), generous negative space for headline.</t>
        </is>
      </c>
      <c r="V24" t="inlineStr">
        <is>
          <t>.../outputs/coloriage-kawaii-arborescence-2026-07-09/images_produits/24_coloriage-cosy_1005008721115511</t>
        </is>
      </c>
      <c r="W24" t="inlineStr">
        <is>
          <t>Coloriage cosy cozy 'Cozy Girl Vibes' (adulte) | [Marque]</t>
        </is>
      </c>
      <c r="X24" t="inlineStr">
        <is>
          <t>cozy 'Cozy Girl Vibes' (adulte) — coloriage cosy | [Marque]</t>
        </is>
      </c>
      <c r="Y24" t="inlineStr">
        <is>
          <t>cozy 'Cozy Girl Vibes' (adulte) : ambiance cozy réconfortante. Livraison rapide, avis vérifiés. Commandez sur [Marque] !</t>
        </is>
      </c>
      <c r="Z24" s="117" t="inlineStr">
        <is>
          <t>&lt;div class="product-desc"&gt;
  &lt;p&gt;Coloriage cosy &lt;strong&gt;« cozy 'Cozy Girl Vibes' (adulte) »&lt;/strong&gt; — ambiance cozy réconfortante.&lt;/p&gt;
  &lt;p&gt;&lt;strong&gt;Envie de déconnecter et de vous détendre un crayon à la main ?&lt;/strong&gt;&lt;/p&gt;
  &lt;h3&gt;✅ Une vraie parenthèse détente&lt;/h3&gt;
  &lt;p&gt;Ce livre de cozy et réconfortant aide à relâcher la pression : on se concentre sur les couleurs, le mental se pose. Idéal le soir ou le week-end.&lt;/p&gt;
  &lt;h3&gt;✅ Des illustrations originales et mignonnes&lt;/h3&gt;
  &lt;p&gt;Des pages au style cozy et réconfortant,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5">
      <c r="A25" s="57" t="inlineStr">
        <is>
          <t>coloriage-cosy-2</t>
        </is>
      </c>
      <c r="B25" s="117" t="inlineStr">
        <is>
          <t>coloriage cosy</t>
        </is>
      </c>
      <c r="C25" s="117" t="inlineStr">
        <is>
          <t>Coloriage cozy capybaras 'Capycuties'</t>
        </is>
      </c>
      <c r="D25" s="117" t="inlineStr">
        <is>
          <t>https://fr.aliexpress.com/item/1005008908887872.html</t>
        </is>
      </c>
      <c r="E25" s="156" t="n">
        <v>6.79</v>
      </c>
      <c r="F25" s="156" t="n">
        <v>0</v>
      </c>
      <c r="G25" s="156">
        <f>IF(OR(E25="",F25=""),"",E25+F25)</f>
        <v/>
      </c>
      <c r="H25" s="156">
        <f>IFERROR(VLOOKUP(B25,'Collections'!$C$4:$L$18,10,FALSE),"")</f>
        <v/>
      </c>
      <c r="I25" s="162">
        <f>IFERROR(H25/G25,"")</f>
        <v/>
      </c>
      <c r="J25" s="163" t="n">
        <v>4.9</v>
      </c>
      <c r="K25" s="151" t="n">
        <v>2000</v>
      </c>
      <c r="L25" s="117" t="inlineStr">
        <is>
          <t>Choice — vendeur agrégé</t>
        </is>
      </c>
      <c r="M25" s="117" t="inlineStr">
        <is>
          <t>16-20 juil. (~6-10 j)</t>
        </is>
      </c>
      <c r="N25" s="117" t="inlineStr">
        <is>
          <t>Choice</t>
        </is>
      </c>
      <c r="O25" s="117" t="inlineStr">
        <is>
          <t>Couleur: MULTI</t>
        </is>
      </c>
      <c r="P25" s="117" t="inlineStr">
        <is>
          <t>Coloriage capybaras kawaii — mignon &amp; détente</t>
        </is>
      </c>
      <c r="Q25" s="117" t="inlineStr">
        <is>
          <t>Livre papier, visuels génériques (OK licence). Vérifier texte intérieur minimal (langue).</t>
        </is>
      </c>
      <c r="R25" s="117" t="inlineStr">
        <is>
          <t>Retenir</t>
        </is>
      </c>
      <c r="S25" s="164" t="n">
        <v>46213</v>
      </c>
      <c r="T25" s="59" t="inlineStr">
        <is>
          <t>AliExpress Choice ; livraison gratuite dès 10€ ; note agrégée</t>
        </is>
      </c>
      <c r="U25" s="117" t="inlineStr">
        <is>
          <t>PACKSHOT — E-commerce hero packshot of the coloring book «Coloriage cozy capybaras 'Capycuties'», cover facing forward, centered on a clean seamless pastel background, soft studio shadow, ultra-sharp, soft pastel kawaii brand aesthetic, cohesive palette (blush pink, cream, mint, lilac), 1:1 square.
LIFESTYLE — Top-down flat-lay of «Coloriage cozy capybaras 'Capycuties'» on a cozy pastel desk with colored pencils, a warm drink and a small plush, soft natural morning light, hygge kawaii mood, soft pastel kawaii brand aesthetic, cohesive palette (blush pink, cream, mint, lilac), 1:1.
EN SITUATION — Close-up of a person's hands coloring a cozy hygge page from «Coloriage cozy capybaras 'Capycuties'», cozy blanket, shallow depth of field, warm soft tones.
DÉTAIL — Macro of the open inner pages of «Coloriage cozy capybaras 'Capycuties'» showing cute cozy hygge line-art illustrations, crisp lines, shallow depth of field.
FEATURE — Clean product feature image of «Coloriage cozy capybaras 'Capycuties'» standing upright with minimal text callouts (page count, thick paper, anti-stress), soft pastel kawaii brand aesthetic, cohesive palette (blush pink, cream, mint, lilac), generous negative space for headline.</t>
        </is>
      </c>
      <c r="V25" t="inlineStr">
        <is>
          <t>.../outputs/coloriage-kawaii-arborescence-2026-07-09/images_produits/25_coloriage-cosy_1005008908887872</t>
        </is>
      </c>
      <c r="W25" t="inlineStr">
        <is>
          <t>Coloriage cosy cozy capybaras 'Capycuties' | [Marque]</t>
        </is>
      </c>
      <c r="X25" t="inlineStr">
        <is>
          <t>cozy capybaras 'Capycuties' — coloriage cosy | [Marque]</t>
        </is>
      </c>
      <c r="Y25" t="inlineStr">
        <is>
          <t>cozy capybaras 'Capycuties' : ambiance cozy réconfortante. Livraison rapide, avis vérifiés. Commandez sur [Marque] !</t>
        </is>
      </c>
      <c r="Z25" s="117" t="inlineStr">
        <is>
          <t>&lt;div class="product-desc"&gt;
  &lt;p&gt;Coloriage cosy &lt;strong&gt;« cozy capybaras 'Capycuties' »&lt;/strong&gt; — ambiance cozy réconfortante.&lt;/p&gt;
  &lt;p&gt;&lt;strong&gt;Et si 15 minutes de coloriage remplaçaient le scroll du soir ?&lt;/strong&gt;&lt;/p&gt;
  &lt;h3&gt;✅ Une vraie parenthèse détente&lt;/h3&gt;
  &lt;p&gt;Ce livre de cozy et réconfortant aide à relâcher la pression : on se concentre sur les couleurs, le mental se pose. Idéal le soir ou le week-end.&lt;/p&gt;
  &lt;h3&gt;✅ Des illustrations originales et mignonnes&lt;/h3&gt;
  &lt;p&gt;Des pages au style cozy et réconfortant,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6">
      <c r="A26" s="57" t="inlineStr">
        <is>
          <t>coloriage-cosy-3</t>
        </is>
      </c>
      <c r="B26" s="117" t="inlineStr">
        <is>
          <t>coloriage cosy</t>
        </is>
      </c>
      <c r="C26" s="117" t="inlineStr">
        <is>
          <t>Coloriage cozy 'Little Corner' (adulte/ado)</t>
        </is>
      </c>
      <c r="D26" s="117" t="inlineStr">
        <is>
          <t>https://fr.aliexpress.com/item/1005008075174099.html</t>
        </is>
      </c>
      <c r="E26" s="156" t="n">
        <v>7.99</v>
      </c>
      <c r="F26" s="156" t="n">
        <v>0</v>
      </c>
      <c r="G26" s="156">
        <f>IF(OR(E26="",F26=""),"",E26+F26)</f>
        <v/>
      </c>
      <c r="H26" s="156">
        <f>IFERROR(VLOOKUP(B26,'Collections'!$C$4:$L$18,10,FALSE),"")</f>
        <v/>
      </c>
      <c r="I26" s="162">
        <f>IFERROR(H26/G26,"")</f>
        <v/>
      </c>
      <c r="J26" s="163" t="n">
        <v>4.9</v>
      </c>
      <c r="K26" s="151" t="n">
        <v>1000</v>
      </c>
      <c r="L26" s="117" t="inlineStr">
        <is>
          <t>Choice — vendeur agrégé</t>
        </is>
      </c>
      <c r="M26" s="117" t="inlineStr">
        <is>
          <t>16-20 juil. (~6-10 j)</t>
        </is>
      </c>
      <c r="N26" s="117" t="inlineStr">
        <is>
          <t>Choice</t>
        </is>
      </c>
      <c r="O26" s="117" t="inlineStr">
        <is>
          <t>Couleur: StyleA</t>
        </is>
      </c>
      <c r="P26" s="117" t="inlineStr">
        <is>
          <t>Coloriage cozy mignon — petits coins réconfortants</t>
        </is>
      </c>
      <c r="Q26" s="117" t="inlineStr">
        <is>
          <t>Livre papier, visuels génériques (OK licence). Vérifier texte intérieur minimal (langue).</t>
        </is>
      </c>
      <c r="R26" s="117" t="inlineStr">
        <is>
          <t>Retenir</t>
        </is>
      </c>
      <c r="S26" s="164" t="n">
        <v>46213</v>
      </c>
      <c r="T26" s="59" t="inlineStr">
        <is>
          <t>AliExpress Choice ; livraison gratuite dès 10€ ; note agrégée</t>
        </is>
      </c>
      <c r="U26" s="117" t="inlineStr">
        <is>
          <t>PACKSHOT — E-commerce hero packshot of the coloring book «Coloriage cozy 'Little Corner' (adulte/ado)», cover facing forward, centered on a clean seamless pastel background, soft studio shadow, ultra-sharp, soft pastel kawaii brand aesthetic, cohesive palette (blush pink, cream, mint, lilac), 1:1 square.
LIFESTYLE — Top-down flat-lay of «Coloriage cozy 'Little Corner' (adulte/ado)» on a cozy pastel desk with colored pencils, a warm drink and a small plush, soft natural morning light, hygge kawaii mood, soft pastel kawaii brand aesthetic, cohesive palette (blush pink, cream, mint, lilac), 1:1.
EN SITUATION — Close-up of a person's hands coloring a cozy hygge page from «Coloriage cozy 'Little Corner' (adulte/ado)», cozy blanket, shallow depth of field, warm soft tones.
DÉTAIL — Macro of the open inner pages of «Coloriage cozy 'Little Corner' (adulte/ado)» showing cute cozy hygge line-art illustrations, crisp lines, shallow depth of field.
FEATURE — Clean product feature image of «Coloriage cozy 'Little Corner' (adulte/ado)» standing upright with minimal text callouts (page count, thick paper, anti-stress), soft pastel kawaii brand aesthetic, cohesive palette (blush pink, cream, mint, lilac), generous negative space for headline.</t>
        </is>
      </c>
      <c r="V26" t="inlineStr">
        <is>
          <t>.../outputs/coloriage-kawaii-arborescence-2026-07-09/images_produits/26_coloriage-cosy_1005008075174099</t>
        </is>
      </c>
      <c r="W26" t="inlineStr">
        <is>
          <t>Coloriage cosy cozy 'Little Corner' (adulte/ado) | [Marque]</t>
        </is>
      </c>
      <c r="X26" t="inlineStr">
        <is>
          <t>cozy 'Little Corner' (adulte/ado) — coloriage cosy | [Marqu</t>
        </is>
      </c>
      <c r="Y26" t="inlineStr">
        <is>
          <t>cozy 'Little Corner' (adulte/ado) : ambiance cozy réconfortante. Livraison rapide, avis vérifiés. Commandez sur [Marque] !</t>
        </is>
      </c>
      <c r="Z26" s="117" t="inlineStr">
        <is>
          <t>&lt;div class="product-desc"&gt;
  &lt;p&gt;Coloriage cosy &lt;strong&gt;« cozy 'Little Corner' (adulte/ado) »&lt;/strong&gt; — ambiance cozy réconfortante.&lt;/p&gt;
  &lt;p&gt;&lt;strong&gt;Besoin d'une pause créative, loin des écrans ?&lt;/strong&gt;&lt;/p&gt;
  &lt;h3&gt;✅ Une vraie parenthèse détente&lt;/h3&gt;
  &lt;p&gt;Ce livre de cozy et réconfortant aide à relâcher la pression : on se concentre sur les couleurs, le mental se pose. Idéal le soir ou le week-end.&lt;/p&gt;
  &lt;h3&gt;✅ Des illustrations originales et mignonnes&lt;/h3&gt;
  &lt;p&gt;Des pages au style cozy et réconfortant,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7">
      <c r="A27" s="57" t="inlineStr">
        <is>
          <t>coloriage-cosy-4</t>
        </is>
      </c>
      <c r="B27" s="117" t="inlineStr">
        <is>
          <t>coloriage cosy</t>
        </is>
      </c>
      <c r="C27" s="117" t="inlineStr">
        <is>
          <t>Coloriage cozy 'Cozy Corner' cute &amp; comfy</t>
        </is>
      </c>
      <c r="D27" s="117" t="inlineStr">
        <is>
          <t>https://fr.aliexpress.com/item/1005009384244389.html</t>
        </is>
      </c>
      <c r="E27" s="156" t="n">
        <v>6.59</v>
      </c>
      <c r="F27" s="156" t="n">
        <v>0</v>
      </c>
      <c r="G27" s="156">
        <f>IF(OR(E27="",F27=""),"",E27+F27)</f>
        <v/>
      </c>
      <c r="H27" s="156">
        <f>IFERROR(VLOOKUP(B27,'Collections'!$C$4:$L$18,10,FALSE),"")</f>
        <v/>
      </c>
      <c r="I27" s="162">
        <f>IFERROR(H27/G27,"")</f>
        <v/>
      </c>
      <c r="J27" s="163" t="n">
        <v>4.9</v>
      </c>
      <c r="K27" s="151" t="n">
        <v>1000</v>
      </c>
      <c r="L27" s="117" t="inlineStr">
        <is>
          <t>Choice — vendeur agrégé</t>
        </is>
      </c>
      <c r="M27" s="117" t="inlineStr">
        <is>
          <t>16-20 juil. (~6-10 j)</t>
        </is>
      </c>
      <c r="N27" s="117" t="inlineStr">
        <is>
          <t>Choice</t>
        </is>
      </c>
      <c r="O27" s="117" t="inlineStr">
        <is>
          <t>Couleur: X1-1157</t>
        </is>
      </c>
      <c r="P27" s="117" t="inlineStr">
        <is>
          <t>Coloriage cozy home — ambiance réconfortante</t>
        </is>
      </c>
      <c r="Q27" s="117" t="inlineStr">
        <is>
          <t>Livre papier, visuels génériques (OK licence). Vérifier texte intérieur minimal (langue).</t>
        </is>
      </c>
      <c r="R27" s="117" t="inlineStr">
        <is>
          <t>Retenir</t>
        </is>
      </c>
      <c r="S27" s="164" t="n">
        <v>46213</v>
      </c>
      <c r="T27" s="59" t="inlineStr">
        <is>
          <t>AliExpress Choice ; livraison gratuite dès 10€ ; note agrégée</t>
        </is>
      </c>
      <c r="U27" s="117" t="inlineStr">
        <is>
          <t>PACKSHOT — E-commerce hero packshot of the coloring book «Coloriage cozy 'Cozy Corner' cute &amp; comfy», cover facing forward, centered on a clean seamless pastel background, soft studio shadow, ultra-sharp, soft pastel kawaii brand aesthetic, cohesive palette (blush pink, cream, mint, lilac), 1:1 square.
LIFESTYLE — Top-down flat-lay of «Coloriage cozy 'Cozy Corner' cute &amp; comfy» on a cozy pastel desk with colored pencils, a warm drink and a small plush, soft natural morning light, hygge kawaii mood, soft pastel kawaii brand aesthetic, cohesive palette (blush pink, cream, mint, lilac), 1:1.
EN SITUATION — Close-up of a person's hands coloring a cozy hygge page from «Coloriage cozy 'Cozy Corner' cute &amp; comfy», cozy blanket, shallow depth of field, warm soft tones.
DÉTAIL — Macro of the open inner pages of «Coloriage cozy 'Cozy Corner' cute &amp; comfy» showing cute cozy hygge line-art illustrations, crisp lines, shallow depth of field.
FEATURE — Clean product feature image of «Coloriage cozy 'Cozy Corner' cute &amp; comfy» standing upright with minimal text callouts (page count, thick paper, anti-stress), soft pastel kawaii brand aesthetic, cohesive palette (blush pink, cream, mint, lilac), generous negative space for headline.</t>
        </is>
      </c>
      <c r="V27" t="inlineStr">
        <is>
          <t>.../outputs/coloriage-kawaii-arborescence-2026-07-09/images_produits/27_coloriage-cosy_1005009384244389</t>
        </is>
      </c>
      <c r="W27" t="inlineStr">
        <is>
          <t>Coloriage cosy cozy 'Cozy Corner' cute &amp; comfy | [Marque]</t>
        </is>
      </c>
      <c r="X27" t="inlineStr">
        <is>
          <t>cozy 'Cozy Corner' cute &amp; comfy — coloriage cosy | [Marque]</t>
        </is>
      </c>
      <c r="Y27" t="inlineStr">
        <is>
          <t>cozy 'Cozy Corner' cute &amp; comfy : ambiance cozy réconfortante. Livraison rapide, avis vérifiés. Commandez sur [Marque] !</t>
        </is>
      </c>
      <c r="Z27" s="117" t="inlineStr">
        <is>
          <t>&lt;div class="product-desc"&gt;
  &lt;p&gt;Coloriage cosy &lt;strong&gt;« cozy 'Cozy Corner' cute &amp;amp; comfy »&lt;/strong&gt; — ambiance cozy réconfortante.&lt;/p&gt;
  &lt;p&gt;&lt;strong&gt;Envie de déconnecter et de vous détendre un crayon à la main ?&lt;/strong&gt;&lt;/p&gt;
  &lt;h3&gt;✅ Une vraie parenthèse détente&lt;/h3&gt;
  &lt;p&gt;Ce livre de cozy et réconfortant aide à relâcher la pression : on se concentre sur les couleurs, le mental se pose. Idéal le soir ou le week-end.&lt;/p&gt;
  &lt;h3&gt;✅ Des illustrations originales et mignonnes&lt;/h3&gt;
  &lt;p&gt;Des pages au style cozy et réconfortant,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8">
      <c r="A28" s="57" t="inlineStr">
        <is>
          <t>coloriage-cosy-5</t>
        </is>
      </c>
      <c r="B28" s="117" t="inlineStr">
        <is>
          <t>coloriage cosy</t>
        </is>
      </c>
      <c r="C28" s="117" t="inlineStr">
        <is>
          <t>Coloriage cozy 'Calm Times' anti-stress</t>
        </is>
      </c>
      <c r="D28" s="117" t="inlineStr">
        <is>
          <t>https://fr.aliexpress.com/item/1005010439259835.html</t>
        </is>
      </c>
      <c r="E28" s="156" t="n">
        <v>6.99</v>
      </c>
      <c r="F28" s="156" t="n">
        <v>0</v>
      </c>
      <c r="G28" s="156">
        <f>IF(OR(E28="",F28=""),"",E28+F28)</f>
        <v/>
      </c>
      <c r="H28" s="156">
        <f>IFERROR(VLOOKUP(B28,'Collections'!$C$4:$L$18,10,FALSE),"")</f>
        <v/>
      </c>
      <c r="I28" s="162">
        <f>IFERROR(H28/G28,"")</f>
        <v/>
      </c>
      <c r="J28" s="163" t="n">
        <v>4.9</v>
      </c>
      <c r="K28" s="151" t="n">
        <v>1000</v>
      </c>
      <c r="L28" s="117" t="inlineStr">
        <is>
          <t>Choice — vendeur agrégé</t>
        </is>
      </c>
      <c r="M28" s="117" t="inlineStr">
        <is>
          <t>16-20 juil. (~6-10 j)</t>
        </is>
      </c>
      <c r="N28" s="117" t="inlineStr">
        <is>
          <t>Choice</t>
        </is>
      </c>
      <c r="O28" s="117" t="inlineStr">
        <is>
          <t>Couleur: Rose</t>
        </is>
      </c>
      <c r="P28" s="117" t="inlineStr">
        <is>
          <t>Coloriage cozy anti-stress — moments calmes</t>
        </is>
      </c>
      <c r="Q28" s="117" t="inlineStr">
        <is>
          <t>Livre papier, visuels génériques (OK licence). Vérifier texte intérieur minimal (langue).</t>
        </is>
      </c>
      <c r="R28" s="117" t="inlineStr">
        <is>
          <t>Retenir</t>
        </is>
      </c>
      <c r="S28" s="164" t="n">
        <v>46213</v>
      </c>
      <c r="T28" s="59" t="inlineStr">
        <is>
          <t>AliExpress Choice ; livraison gratuite dès 10€ ; note agrégée</t>
        </is>
      </c>
      <c r="U28" s="117" t="inlineStr">
        <is>
          <t>PACKSHOT — E-commerce hero packshot of the coloring book «Coloriage cozy 'Calm Times' anti-stress», cover facing forward, centered on a clean seamless pastel background, soft studio shadow, ultra-sharp, soft pastel kawaii brand aesthetic, cohesive palette (blush pink, cream, mint, lilac), 1:1 square.
LIFESTYLE — Top-down flat-lay of «Coloriage cozy 'Calm Times' anti-stress» on a cozy pastel desk with colored pencils, a warm drink and a small plush, soft natural morning light, hygge kawaii mood, soft pastel kawaii brand aesthetic, cohesive palette (blush pink, cream, mint, lilac), 1:1.
EN SITUATION — Close-up of a person's hands coloring a cozy hygge page from «Coloriage cozy 'Calm Times' anti-stress», cozy blanket, shallow depth of field, warm soft tones.
DÉTAIL — Macro of the open inner pages of «Coloriage cozy 'Calm Times' anti-stress» showing cute cozy hygge line-art illustrations, crisp lines, shallow depth of field.
FEATURE — Clean product feature image of «Coloriage cozy 'Calm Times' anti-stress» standing upright with minimal text callouts (page count, thick paper, anti-stress), soft pastel kawaii brand aesthetic, cohesive palette (blush pink, cream, mint, lilac), generous negative space for headline.</t>
        </is>
      </c>
      <c r="V28" t="inlineStr">
        <is>
          <t>.../outputs/coloriage-kawaii-arborescence-2026-07-09/images_produits/28_coloriage-cosy_1005010439259835</t>
        </is>
      </c>
      <c r="W28" t="inlineStr">
        <is>
          <t>Coloriage cosy cozy 'Calm Times' anti-stress | [Marque]</t>
        </is>
      </c>
      <c r="X28" t="inlineStr">
        <is>
          <t>cozy 'Calm Times' anti-stress — coloriage cosy | [Marque]</t>
        </is>
      </c>
      <c r="Y28" t="inlineStr">
        <is>
          <t>cozy 'Calm Times' anti-stress : ambiance cozy réconfortante. Livraison rapide, avis vérifiés. Commandez sur [Marque] !</t>
        </is>
      </c>
      <c r="Z28" s="117" t="inlineStr">
        <is>
          <t>&lt;div class="product-desc"&gt;
  &lt;p&gt;Coloriage cosy &lt;strong&gt;« cozy 'Calm Times' anti-stress »&lt;/strong&gt; — ambiance cozy réconfortante.&lt;/p&gt;
  &lt;p&gt;&lt;strong&gt;Et si 15 minutes de coloriage remplaçaient le scroll du soir ?&lt;/strong&gt;&lt;/p&gt;
  &lt;h3&gt;✅ Une vraie parenthèse détente&lt;/h3&gt;
  &lt;p&gt;Ce livre de cozy et réconfortant aide à relâcher la pression : on se concentre sur les couleurs, le mental se pose. Idéal le soir ou le week-end.&lt;/p&gt;
  &lt;h3&gt;✅ Des illustrations originales et mignonnes&lt;/h3&gt;
  &lt;p&gt;Des pages au style cozy et réconfortant,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29">
      <c r="A29" s="57" t="inlineStr">
        <is>
          <t>coloriage-manga-1</t>
        </is>
      </c>
      <c r="B29" s="117" t="inlineStr">
        <is>
          <t>coloriage manga</t>
        </is>
      </c>
      <c r="C29" s="117" t="inlineStr">
        <is>
          <t>Apprendre à dessiner personnages anime (Q-version)</t>
        </is>
      </c>
      <c r="D29" s="117" t="inlineStr">
        <is>
          <t>https://fr.aliexpress.com/item/1005010044061332.html</t>
        </is>
      </c>
      <c r="E29" s="156" t="n">
        <v>6.09</v>
      </c>
      <c r="F29" s="156" t="n">
        <v>0</v>
      </c>
      <c r="G29" s="156">
        <f>IF(OR(E29="",F29=""),"",E29+F29)</f>
        <v/>
      </c>
      <c r="H29" s="156">
        <f>IFERROR(VLOOKUP(B29,'Collections'!$C$4:$L$18,10,FALSE),"")</f>
        <v/>
      </c>
      <c r="I29" s="162">
        <f>IFERROR(H29/G29,"")</f>
        <v/>
      </c>
      <c r="J29" s="163" t="n">
        <v>4.9</v>
      </c>
      <c r="K29" s="151" t="n">
        <v>10000</v>
      </c>
      <c r="L29" s="117" t="inlineStr">
        <is>
          <t>Choice — vendeur agrégé</t>
        </is>
      </c>
      <c r="M29" s="117" t="inlineStr">
        <is>
          <t>16-19 juil. (~6-9 j)</t>
        </is>
      </c>
      <c r="N29" s="117" t="inlineStr">
        <is>
          <t>Choice</t>
        </is>
      </c>
      <c r="O29" s="117" t="inlineStr">
        <is>
          <t>Volume: Q-version character</t>
        </is>
      </c>
      <c r="P29" s="117" t="inlineStr">
        <is>
          <t>Apprendre à dessiner l'anime (Q-version) — cahier d'exercices</t>
        </is>
      </c>
      <c r="Q29" s="117" t="inlineStr">
        <is>
          <t>Livre papier style anime générique. VÉRIFIER visuels : AUCUN personnage sous licence (Naruto/One Piece/Demon Slayer...). Texte intérieur minimal (langue).</t>
        </is>
      </c>
      <c r="R29" s="117" t="inlineStr">
        <is>
          <t>Retenir</t>
        </is>
      </c>
      <c r="S29" s="164" t="n">
        <v>46213</v>
      </c>
      <c r="T29" s="59" t="inlineStr">
        <is>
          <t>AliExpress Choice ; livraison gratuite dès 10€ ; note agrégée</t>
        </is>
      </c>
      <c r="U29" s="117" t="inlineStr">
        <is>
          <t>PACKSHOT — E-commerce hero packshot of the coloring book «Apprendre à dessiner personnages anime (Q-version)», cover facing forward, centered on a clean seamless pastel background, soft studio shadow, ultra-sharp, soft pastel kawaii brand aesthetic, cohesive palette (blush pink, cream, mint, lilac), 1:1 square.
LIFESTYLE — Top-down flat-lay of «Apprendre à dessiner personnages anime (Q-version)» on a cozy pastel desk with colored pencils, a warm drink and a small plush, soft natural morning light, hygge kawaii mood, soft pastel kawaii brand aesthetic, cohesive palette (blush pink, cream, mint, lilac), 1:1.
EN SITUATION — Close-up of a person's hands coloring a anime-style page from «Apprendre à dessiner personnages anime (Q-version)», cozy blanket, shallow depth of field, warm soft tones.
DÉTAIL — Macro of the open inner pages of «Apprendre à dessiner personnages anime (Q-version)» showing cute anime-style line-art illustrations, crisp lines, shallow depth of field.
FEATURE — Clean product feature image of «Apprendre à dessiner personnages anime (Q-version)» standing upright with minimal text callouts (page count, thick paper, anti-stress), soft pastel kawaii brand aesthetic, cohesive palette (blush pink, cream, mint, lilac), generous negative space for headline.</t>
        </is>
      </c>
      <c r="V29" t="inlineStr">
        <is>
          <t>.../outputs/coloriage-kawaii-arborescence-2026-07-09/images_produits/29_coloriage-manga_1005010044061332</t>
        </is>
      </c>
      <c r="W29" t="inlineStr">
        <is>
          <t>Coloriage manga Apprendre à dessiner personnages anime ( | [Marque]</t>
        </is>
      </c>
      <c r="X29" t="inlineStr">
        <is>
          <t xml:space="preserve">Apprendre à dessiner personnages anime ( — coloriage manga </t>
        </is>
      </c>
      <c r="Y29" t="inlineStr">
        <is>
          <t>Apprendre à dessiner personnages anime ( : style anime, apprendre à dessiner. Livraison rapide, avis vérifiés. Commandez sur [Marque] !</t>
        </is>
      </c>
      <c r="Z29" s="117" t="inlineStr">
        <is>
          <t>&lt;div class="product-desc"&gt;
  &lt;p&gt;Coloriage manga &lt;strong&gt;« Apprendre à dessiner personnages anime ( »&lt;/strong&gt; — style anime, apprendre à dessiner.&lt;/p&gt;
  &lt;p&gt;&lt;strong&gt;Envie de déconnecter et de vous détendre un crayon à la main ?&lt;/strong&gt;&lt;/p&gt;
  &lt;h3&gt;✅ Une vraie parenthèse détente&lt;/h3&gt;
  &lt;p&gt;Ce livre de style manga / anime aide à relâcher la pression : on se concentre sur les couleurs, le mental se pose. Idéal le soir ou le week-end.&lt;/p&gt;
  &lt;h3&gt;✅ Des illustrations originales et mignonnes&lt;/h3&gt;
  &lt;p&gt;Des pages au style style manga / anime,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30">
      <c r="A30" s="57" t="inlineStr">
        <is>
          <t>coloriage-manga-2</t>
        </is>
      </c>
      <c r="B30" s="117" t="inlineStr">
        <is>
          <t>coloriage manga</t>
        </is>
      </c>
      <c r="C30" s="117" t="inlineStr">
        <is>
          <t>Coloriage dessins animés au trait (enfants)</t>
        </is>
      </c>
      <c r="D30" s="117" t="inlineStr">
        <is>
          <t>https://fr.aliexpress.com/item/1005012304229578.html</t>
        </is>
      </c>
      <c r="E30" s="156" t="n">
        <v>6.29</v>
      </c>
      <c r="F30" s="156" t="n">
        <v>0</v>
      </c>
      <c r="G30" s="156">
        <f>IF(OR(E30="",F30=""),"",E30+F30)</f>
        <v/>
      </c>
      <c r="H30" s="156">
        <f>IFERROR(VLOOKUP(B30,'Collections'!$C$4:$L$18,10,FALSE),"")</f>
        <v/>
      </c>
      <c r="I30" s="162">
        <f>IFERROR(H30/G30,"")</f>
        <v/>
      </c>
      <c r="J30" s="163" t="n">
        <v>4.9</v>
      </c>
      <c r="K30" s="151" t="n">
        <v>2000</v>
      </c>
      <c r="L30" s="117" t="inlineStr">
        <is>
          <t>Choice — vendeur agrégé</t>
        </is>
      </c>
      <c r="M30" s="117" t="inlineStr">
        <is>
          <t>16-19 juil. (~6-9 j)</t>
        </is>
      </c>
      <c r="N30" s="117" t="inlineStr">
        <is>
          <t>Choice</t>
        </is>
      </c>
      <c r="O30" s="117" t="inlineStr">
        <is>
          <t>Couleur: C</t>
        </is>
      </c>
      <c r="P30" s="117" t="inlineStr">
        <is>
          <t>Coloriage dessins animés au trait — enfants / débutants</t>
        </is>
      </c>
      <c r="Q30" s="117" t="inlineStr">
        <is>
          <t>Livre papier style anime générique. VÉRIFIER visuels : AUCUN personnage sous licence (Naruto/One Piece/Demon Slayer...). Texte intérieur minimal (langue).</t>
        </is>
      </c>
      <c r="R30" s="117" t="inlineStr">
        <is>
          <t>Retenir</t>
        </is>
      </c>
      <c r="S30" s="164" t="n">
        <v>46213</v>
      </c>
      <c r="T30" s="59" t="inlineStr">
        <is>
          <t>AliExpress Choice ; livraison gratuite dès 10€ ; note agrégée</t>
        </is>
      </c>
      <c r="U30" s="117" t="inlineStr">
        <is>
          <t>PACKSHOT — E-commerce hero packshot of the coloring book «Coloriage dessins animés au trait (enfants)», cover facing forward, centered on a clean seamless pastel background, soft studio shadow, ultra-sharp, soft pastel kawaii brand aesthetic, cohesive palette (blush pink, cream, mint, lilac), 1:1 square.
LIFESTYLE — Top-down flat-lay of «Coloriage dessins animés au trait (enfants)» on a cozy pastel desk with colored pencils, a warm drink and a small plush, soft natural morning light, hygge kawaii mood, soft pastel kawaii brand aesthetic, cohesive palette (blush pink, cream, mint, lilac), 1:1.
EN SITUATION — Close-up of a person's hands coloring a anime-style page from «Coloriage dessins animés au trait (enfants)», cozy blanket, shallow depth of field, warm soft tones.
DÉTAIL — Macro of the open inner pages of «Coloriage dessins animés au trait (enfants)» showing cute anime-style line-art illustrations, crisp lines, shallow depth of field.
FEATURE — Clean product feature image of «Coloriage dessins animés au trait (enfants)» standing upright with minimal text callouts (page count, thick paper, anti-stress), soft pastel kawaii brand aesthetic, cohesive palette (blush pink, cream, mint, lilac), generous negative space for headline.</t>
        </is>
      </c>
      <c r="V30" t="inlineStr">
        <is>
          <t>.../outputs/coloriage-kawaii-arborescence-2026-07-09/images_produits/30_coloriage-manga_1005012304229578</t>
        </is>
      </c>
      <c r="W30" t="inlineStr">
        <is>
          <t>Coloriage manga dessins animés au trait (enfants) | [Marque]</t>
        </is>
      </c>
      <c r="X30" t="inlineStr">
        <is>
          <t>dessins animés au trait (enfants) — coloriage manga | [Marq</t>
        </is>
      </c>
      <c r="Y30" t="inlineStr">
        <is>
          <t>dessins animés au trait (enfants) : style anime, apprendre à dessiner. Livraison rapide, avis vérifiés. Commandez sur [Marque] !</t>
        </is>
      </c>
      <c r="Z30" s="117" t="inlineStr">
        <is>
          <t>&lt;div class="product-desc"&gt;
  &lt;p&gt;Coloriage manga &lt;strong&gt;« dessins animés au trait (enfants) »&lt;/strong&gt; — style anime, apprendre à dessiner.&lt;/p&gt;
  &lt;p&gt;&lt;strong&gt;Et si 15 minutes de coloriage remplaçaient le scroll du soir ?&lt;/strong&gt;&lt;/p&gt;
  &lt;h3&gt;✅ Une vraie parenthèse détente&lt;/h3&gt;
  &lt;p&gt;Ce livre de style manga / anime aide à relâcher la pression : on se concentre sur les couleurs, le mental se pose. Idéal le soir ou le week-end.&lt;/p&gt;
  &lt;h3&gt;✅ Des illustrations originales et mignonnes&lt;/h3&gt;
  &lt;p&gt;Des pages au style style manga / anime,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31">
      <c r="A31" s="57" t="inlineStr">
        <is>
          <t>coloriage-manga-3</t>
        </is>
      </c>
      <c r="B31" s="117" t="inlineStr">
        <is>
          <t>coloriage manga</t>
        </is>
      </c>
      <c r="C31" s="117" t="inlineStr">
        <is>
          <t>Dessin au trait animaux &amp; anime (46 p., débutants)</t>
        </is>
      </c>
      <c r="D31" s="117" t="inlineStr">
        <is>
          <t>https://fr.aliexpress.com/item/1005011942984264.html</t>
        </is>
      </c>
      <c r="E31" s="156" t="n">
        <v>6.59</v>
      </c>
      <c r="F31" s="156" t="n">
        <v>0</v>
      </c>
      <c r="G31" s="156">
        <f>IF(OR(E31="",F31=""),"",E31+F31)</f>
        <v/>
      </c>
      <c r="H31" s="156">
        <f>IFERROR(VLOOKUP(B31,'Collections'!$C$4:$L$18,10,FALSE),"")</f>
        <v/>
      </c>
      <c r="I31" s="162">
        <f>IFERROR(H31/G31,"")</f>
        <v/>
      </c>
      <c r="J31" s="163" t="n">
        <v>4.9</v>
      </c>
      <c r="K31" s="151" t="n">
        <v>2000</v>
      </c>
      <c r="L31" s="117" t="inlineStr">
        <is>
          <t>Choice — vendeur agrégé</t>
        </is>
      </c>
      <c r="M31" s="117" t="inlineStr">
        <is>
          <t>16-19 juil. (~6-9 j)</t>
        </is>
      </c>
      <c r="N31" s="117" t="inlineStr">
        <is>
          <t>Choice</t>
        </is>
      </c>
      <c r="O31" s="117" t="inlineStr">
        <is>
          <t>Couleur: Style F</t>
        </is>
      </c>
      <c r="P31" s="117" t="inlineStr">
        <is>
          <t>Dessin au trait animaux &amp; personnages anime — 46 pages</t>
        </is>
      </c>
      <c r="Q31" s="117" t="inlineStr">
        <is>
          <t>Livre papier style anime générique. VÉRIFIER visuels : AUCUN personnage sous licence (Naruto/One Piece/Demon Slayer...). Texte intérieur minimal (langue).</t>
        </is>
      </c>
      <c r="R31" s="117" t="inlineStr">
        <is>
          <t>Retenir</t>
        </is>
      </c>
      <c r="S31" s="164" t="n">
        <v>46213</v>
      </c>
      <c r="T31" s="59" t="inlineStr">
        <is>
          <t>AliExpress Choice ; livraison gratuite dès 10€ ; note agrégée</t>
        </is>
      </c>
      <c r="U31" s="117" t="inlineStr">
        <is>
          <t>PACKSHOT — E-commerce hero packshot of the coloring book «Dessin au trait animaux &amp; anime (46 p., débutants)», cover facing forward, centered on a clean seamless pastel background, soft studio shadow, ultra-sharp, soft pastel kawaii brand aesthetic, cohesive palette (blush pink, cream, mint, lilac), 1:1 square.
LIFESTYLE — Top-down flat-lay of «Dessin au trait animaux &amp; anime (46 p., débutants)» on a cozy pastel desk with colored pencils, a warm drink and a small plush, soft natural morning light, hygge kawaii mood, soft pastel kawaii brand aesthetic, cohesive palette (blush pink, cream, mint, lilac), 1:1.
EN SITUATION — Close-up of a person's hands coloring a anime-style page from «Dessin au trait animaux &amp; anime (46 p., débutants)», cozy blanket, shallow depth of field, warm soft tones.
DÉTAIL — Macro of the open inner pages of «Dessin au trait animaux &amp; anime (46 p., débutants)» showing cute anime-style line-art illustrations, crisp lines, shallow depth of field.
FEATURE — Clean product feature image of «Dessin au trait animaux &amp; anime (46 p., débutants)» standing upright with minimal text callouts (page count, thick paper, anti-stress), soft pastel kawaii brand aesthetic, cohesive palette (blush pink, cream, mint, lilac), generous negative space for headline.</t>
        </is>
      </c>
      <c r="V31" t="inlineStr">
        <is>
          <t>.../outputs/coloriage-kawaii-arborescence-2026-07-09/images_produits/31_coloriage-manga_1005011942984264</t>
        </is>
      </c>
      <c r="W31" t="inlineStr">
        <is>
          <t>Coloriage manga Dessin au trait animaux &amp; anime (46 p., | [Marque]</t>
        </is>
      </c>
      <c r="X31" t="inlineStr">
        <is>
          <t>Dessin au trait animaux &amp; anime (46 p., — coloriage manga |</t>
        </is>
      </c>
      <c r="Y31" t="inlineStr">
        <is>
          <t>Dessin au trait animaux &amp; anime (46 p., : style anime, apprendre à dessiner. Livraison rapide, avis vérifiés. Commandez sur [Marque] !</t>
        </is>
      </c>
      <c r="Z31" s="117" t="inlineStr">
        <is>
          <t>&lt;div class="product-desc"&gt;
  &lt;p&gt;Coloriage manga &lt;strong&gt;« Dessin au trait animaux &amp;amp; anime (46 p., »&lt;/strong&gt; — style anime, apprendre à dessiner.&lt;/p&gt;
  &lt;p&gt;&lt;strong&gt;Besoin d'une pause créative, loin des écrans ?&lt;/strong&gt;&lt;/p&gt;
  &lt;h3&gt;✅ Une vraie parenthèse détente&lt;/h3&gt;
  &lt;p&gt;Ce livre de style manga / anime aide à relâcher la pression : on se concentre sur les couleurs, le mental se pose. Idéal le soir ou le week-end.&lt;/p&gt;
  &lt;h3&gt;✅ Des illustrations originales et mignonnes&lt;/h3&gt;
  &lt;p&gt;Des pages au style style manga / anime,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46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32">
      <c r="A32" s="57" t="inlineStr">
        <is>
          <t>coloriage-manga-4</t>
        </is>
      </c>
      <c r="B32" s="117" t="inlineStr">
        <is>
          <t>coloriage manga</t>
        </is>
      </c>
      <c r="C32" s="117" t="inlineStr">
        <is>
          <t>Carnet manga/BD vierge DIY (30 feuilles)</t>
        </is>
      </c>
      <c r="D32" s="117" t="inlineStr">
        <is>
          <t>https://fr.aliexpress.com/item/1005011718218194.html</t>
        </is>
      </c>
      <c r="E32" s="156" t="n">
        <v>8.02</v>
      </c>
      <c r="F32" s="156" t="n">
        <v>0</v>
      </c>
      <c r="G32" s="156">
        <f>IF(OR(E32="",F32=""),"",E32+F32)</f>
        <v/>
      </c>
      <c r="H32" s="156">
        <f>IFERROR(VLOOKUP(B32,'Collections'!$C$4:$L$18,10,FALSE),"")</f>
        <v/>
      </c>
      <c r="I32" s="162">
        <f>IFERROR(H32/G32,"")</f>
        <v/>
      </c>
      <c r="J32" s="163" t="n">
        <v>4.9</v>
      </c>
      <c r="K32" s="151" t="n">
        <v>1000</v>
      </c>
      <c r="L32" s="117" t="inlineStr">
        <is>
          <t>Choice — vendeur agrégé</t>
        </is>
      </c>
      <c r="M32" s="117" t="inlineStr">
        <is>
          <t>16-20 juil. (~6-10 j)</t>
        </is>
      </c>
      <c r="N32" s="117" t="inlineStr">
        <is>
          <t>Choice</t>
        </is>
      </c>
      <c r="O32" s="117" t="inlineStr">
        <is>
          <t>Couleur: Style 1-1PCS</t>
        </is>
      </c>
      <c r="P32" s="117" t="inlineStr">
        <is>
          <t>Carnet BD/manga vierge — créer sa propre histoire (0 licence)</t>
        </is>
      </c>
      <c r="Q32" s="117" t="inlineStr">
        <is>
          <t>Livre papier style anime générique. VÉRIFIER visuels : AUCUN personnage sous licence (Naruto/One Piece/Demon Slayer...). Texte intérieur minimal (langue).</t>
        </is>
      </c>
      <c r="R32" s="117" t="inlineStr">
        <is>
          <t>Retenir</t>
        </is>
      </c>
      <c r="S32" s="164" t="n">
        <v>46213</v>
      </c>
      <c r="T32" s="59" t="inlineStr">
        <is>
          <t>AliExpress Choice ; livraison gratuite dès 10€ ; note agrégée</t>
        </is>
      </c>
      <c r="U32" s="117" t="inlineStr">
        <is>
          <t>PACKSHOT — E-commerce hero packshot of the coloring book «Carnet manga/BD vierge DIY (30 feuilles)», cover facing forward, centered on a clean seamless pastel background, soft studio shadow, ultra-sharp, soft pastel kawaii brand aesthetic, cohesive palette (blush pink, cream, mint, lilac), 1:1 square.
LIFESTYLE — Top-down flat-lay of «Carnet manga/BD vierge DIY (30 feuilles)» on a cozy pastel desk with colored pencils, a warm drink and a small plush, soft natural morning light, hygge kawaii mood, soft pastel kawaii brand aesthetic, cohesive palette (blush pink, cream, mint, lilac), 1:1.
EN SITUATION — Close-up of a person's hands coloring a anime-style page from «Carnet manga/BD vierge DIY (30 feuilles)», cozy blanket, shallow depth of field, warm soft tones.
DÉTAIL — Macro of the open inner pages of «Carnet manga/BD vierge DIY (30 feuilles)» showing cute anime-style line-art illustrations, crisp lines, shallow depth of field.
FEATURE — Clean product feature image of «Carnet manga/BD vierge DIY (30 feuilles)» standing upright with minimal text callouts (page count, thick paper, anti-stress), soft pastel kawaii brand aesthetic, cohesive palette (blush pink, cream, mint, lilac), generous negative space for headline.</t>
        </is>
      </c>
      <c r="V32" t="inlineStr">
        <is>
          <t>.../outputs/coloriage-kawaii-arborescence-2026-07-09/images_produits/32_coloriage-manga_1005011718218194</t>
        </is>
      </c>
      <c r="W32" t="inlineStr">
        <is>
          <t>Coloriage manga Carnet manga/BD vierge DIY (30 feuilles) | [Marque]</t>
        </is>
      </c>
      <c r="X32" t="inlineStr">
        <is>
          <t xml:space="preserve">Carnet manga/BD vierge DIY (30 feuilles) — coloriage manga </t>
        </is>
      </c>
      <c r="Y32" t="inlineStr">
        <is>
          <t>Carnet manga/BD vierge DIY (30 feuilles) : style anime, apprendre à dessiner. Livraison rapide, avis vérifiés. Commandez sur [Marque] !</t>
        </is>
      </c>
      <c r="Z32" s="117" t="inlineStr">
        <is>
          <t>&lt;div class="product-desc"&gt;
  &lt;p&gt;Coloriage manga &lt;strong&gt;« Carnet manga/BD vierge DIY (30 feuilles) »&lt;/strong&gt; — style anime, apprendre à dessiner.&lt;/p&gt;
  &lt;p&gt;&lt;strong&gt;Envie de déconnecter et de vous détendre un crayon à la main ?&lt;/strong&gt;&lt;/p&gt;
  &lt;h3&gt;✅ Une vraie parenthèse détente&lt;/h3&gt;
  &lt;p&gt;Ce livre de style manga / anime aide à relâcher la pression : on se concentre sur les couleurs, le mental se pose. Idéal le soir ou le week-end.&lt;/p&gt;
  &lt;h3&gt;✅ Des illustrations originales et mignonnes&lt;/h3&gt;
  &lt;p&gt;Des pages au style style manga / anime,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33">
      <c r="A33" s="57" t="inlineStr">
        <is>
          <t>coloriage-manga-5</t>
        </is>
      </c>
      <c r="B33" s="117" t="inlineStr">
        <is>
          <t>coloriage manga</t>
        </is>
      </c>
      <c r="C33" s="117" t="inlineStr">
        <is>
          <t>Cahier technique dessin manga débutants</t>
        </is>
      </c>
      <c r="D33" s="117" t="inlineStr">
        <is>
          <t>https://fr.aliexpress.com/item/1005008557835900.html</t>
        </is>
      </c>
      <c r="E33" s="156" t="n">
        <v>6.89</v>
      </c>
      <c r="F33" s="156" t="n">
        <v>0</v>
      </c>
      <c r="G33" s="156">
        <f>IF(OR(E33="",F33=""),"",E33+F33)</f>
        <v/>
      </c>
      <c r="H33" s="156">
        <f>IFERROR(VLOOKUP(B33,'Collections'!$C$4:$L$18,10,FALSE),"")</f>
        <v/>
      </c>
      <c r="I33" s="162">
        <f>IFERROR(H33/G33,"")</f>
        <v/>
      </c>
      <c r="J33" s="163" t="n">
        <v>4.9</v>
      </c>
      <c r="K33" s="151" t="n">
        <v>700</v>
      </c>
      <c r="L33" s="117" t="inlineStr">
        <is>
          <t>Choice — vendeur agrégé</t>
        </is>
      </c>
      <c r="M33" s="117" t="inlineStr">
        <is>
          <t>16-19 juil. (~6-9 j)</t>
        </is>
      </c>
      <c r="N33" s="117" t="inlineStr">
        <is>
          <t>Choice</t>
        </is>
      </c>
      <c r="O33" s="117" t="inlineStr">
        <is>
          <t>Couleur: 1Book J</t>
        </is>
      </c>
      <c r="P33" s="117" t="inlineStr">
        <is>
          <t>Cahier technique dessin manga — copie de lignes débutant</t>
        </is>
      </c>
      <c r="Q33" s="117" t="inlineStr">
        <is>
          <t>Livre papier style anime générique. VÉRIFIER visuels : AUCUN personnage sous licence (Naruto/One Piece/Demon Slayer...). Texte intérieur minimal (langue).</t>
        </is>
      </c>
      <c r="R33" s="117" t="inlineStr">
        <is>
          <t>Retenir</t>
        </is>
      </c>
      <c r="S33" s="164" t="n">
        <v>46213</v>
      </c>
      <c r="T33" s="59" t="inlineStr">
        <is>
          <t>AliExpress Choice ; livraison gratuite dès 10€ ; note agrégée</t>
        </is>
      </c>
      <c r="U33" s="117" t="inlineStr">
        <is>
          <t>PACKSHOT — E-commerce hero packshot of the coloring book «Cahier technique dessin manga débutants», cover facing forward, centered on a clean seamless pastel background, soft studio shadow, ultra-sharp, soft pastel kawaii brand aesthetic, cohesive palette (blush pink, cream, mint, lilac), 1:1 square.
LIFESTYLE — Top-down flat-lay of «Cahier technique dessin manga débutants» on a cozy pastel desk with colored pencils, a warm drink and a small plush, soft natural morning light, hygge kawaii mood, soft pastel kawaii brand aesthetic, cohesive palette (blush pink, cream, mint, lilac), 1:1.
EN SITUATION — Close-up of a person's hands coloring a anime-style page from «Cahier technique dessin manga débutants», cozy blanket, shallow depth of field, warm soft tones.
DÉTAIL — Macro of the open inner pages of «Cahier technique dessin manga débutants» showing cute anime-style line-art illustrations, crisp lines, shallow depth of field.
FEATURE — Clean product feature image of «Cahier technique dessin manga débutants» standing upright with minimal text callouts (page count, thick paper, anti-stress), soft pastel kawaii brand aesthetic, cohesive palette (blush pink, cream, mint, lilac), generous negative space for headline.</t>
        </is>
      </c>
      <c r="V33" t="inlineStr">
        <is>
          <t>.../outputs/coloriage-kawaii-arborescence-2026-07-09/images_produits/33_coloriage-manga_1005008557835900</t>
        </is>
      </c>
      <c r="W33" t="inlineStr">
        <is>
          <t>Coloriage manga Cahier technique dessin manga débutants | [Marque]</t>
        </is>
      </c>
      <c r="X33" t="inlineStr">
        <is>
          <t>Cahier technique dessin manga débutants — coloriage manga |</t>
        </is>
      </c>
      <c r="Y33" t="inlineStr">
        <is>
          <t>Cahier technique dessin manga débutants : style anime, apprendre à dessiner. Livraison rapide, avis vérifiés. Commandez sur [Marque] !</t>
        </is>
      </c>
      <c r="Z33" s="117" t="inlineStr">
        <is>
          <t>&lt;div class="product-desc"&gt;
  &lt;p&gt;Coloriage manga &lt;strong&gt;« Cahier technique dessin manga débutants »&lt;/strong&gt; — style anime, apprendre à dessiner.&lt;/p&gt;
  &lt;p&gt;&lt;strong&gt;Et si 15 minutes de coloriage remplaçaient le scroll du soir ?&lt;/strong&gt;&lt;/p&gt;
  &lt;h3&gt;✅ Une vraie parenthèse détente&lt;/h3&gt;
  &lt;p&gt;Ce livre de style manga / anime aide à relâcher la pression : on se concentre sur les couleurs, le mental se pose. Idéal le soir ou le week-end.&lt;/p&gt;
  &lt;h3&gt;✅ Des illustrations originales et mignonnes&lt;/h3&gt;
  &lt;p&gt;Des pages au style style manga / anime, pensées pour être agréables à colorier du premier au dernier trait, sans motif trop chargé.&lt;/p&gt;
  &lt;h3&gt;✅ Le cadeau qui fait toujours plaisir&lt;/h3&gt;
  &lt;p&gt;Pour soi ou à offrir : un objet doux, accessible et personnel qui plaît aux ados comme aux adultes.&lt;/p&gt;
  &lt;h3&gt;📦 Caractéristiques&lt;/h3&gt;
  &lt;ul&gt;
    &lt;li&gt;&lt;strong&gt;Type :&lt;/strong&gt; Livre de coloriage broché&lt;/li&gt;
    &lt;li&gt;&lt;strong&gt;Pages :&lt;/strong&gt; ≈ 24-30 pages&lt;/li&gt;
    &lt;li&gt;&lt;strong&gt;Papier :&lt;/strong&gt; Épais, adapté aux feutres et crayons&lt;/li&gt;
    &lt;li&gt;&lt;strong&gt;Format :&lt;/strong&gt; Compact, transportable&lt;/li&gt;
    &lt;li&gt;&lt;strong&gt;Contenu :&lt;/strong&gt; 1 livre de coloriage&lt;/li&gt;
  &lt;/ul&gt;
  &lt;h3&gt;❓ Questions fréquentes&lt;/h3&gt;
  &lt;details&gt;&lt;summary&gt;Le papier bave-t-il avec les feutres ?&lt;/summary&gt;&lt;p&gt;Le papier est épais ; pour les feutres à alcool, glissez une feuille sous la page en cours par précaution.&lt;/p&gt;&lt;/details&gt;
  &lt;details&gt;&lt;summary&gt;Convient-il aux débutants ?&lt;/summary&gt;&lt;p&gt;Oui, les motifs sont accessibles : aucune technique requise, juste l'envie de colorier.&lt;/p&gt;&lt;/details&gt;
  &lt;details&gt;&lt;summary&gt;Y a-t-il du texte à l'intérieur ?&lt;/summary&gt;&lt;p&gt;Ce sont des pages à colorier ; le texte est minimal, l'univers est visuel.&lt;/p&gt;&lt;/details&gt;
  &lt;p&gt;&lt;strong&gt;🛒 Offrez-vous cette pause — Livraison offerte dès 39€ d'achat.&lt;/strong&gt;&lt;/p&gt;
&lt;/div&gt;</t>
        </is>
      </c>
    </row>
    <row r="34">
      <c r="A34" s="57" t="inlineStr">
        <is>
          <t>coloriage-foot-1</t>
        </is>
      </c>
      <c r="B34" s="117" t="inlineStr">
        <is>
          <t>coloriage foot</t>
        </is>
      </c>
      <c r="C34" s="117" t="inlineStr">
        <is>
          <t>[hors thème] Coloriage apaisant art lumineux</t>
        </is>
      </c>
      <c r="D34" s="117" t="inlineStr">
        <is>
          <t>https://fr.aliexpress.com/item/1005008906083007.html</t>
        </is>
      </c>
      <c r="E34" s="156" t="n">
        <v>10.39</v>
      </c>
      <c r="F34" s="156" t="n">
        <v>0</v>
      </c>
      <c r="G34" s="156">
        <f>IF(OR(E34="",F34=""),"",E34+F34)</f>
        <v/>
      </c>
      <c r="H34" s="156">
        <f>IFERROR(VLOOKUP(B34,'Collections'!$C$4:$L$18,10,FALSE),"")</f>
        <v/>
      </c>
      <c r="I34" s="162">
        <f>IFERROR(H34/G34,"")</f>
        <v/>
      </c>
      <c r="J34" s="163" t="n">
        <v>5</v>
      </c>
      <c r="K34" s="151" t="n">
        <v>380</v>
      </c>
      <c r="L34" s="117" t="inlineStr">
        <is>
          <t>N/D</t>
        </is>
      </c>
      <c r="M34" s="117" t="inlineStr">
        <is>
          <t>N/D</t>
        </is>
      </c>
      <c r="N34" s="117" t="inlineStr">
        <is>
          <t>N/D</t>
        </is>
      </c>
      <c r="O34" s="117" t="inlineStr">
        <is>
          <t>N/D</t>
        </is>
      </c>
      <c r="P34" s="117" t="inlineStr">
        <is>
          <t>Aucun angle foot viable (licence)</t>
        </is>
      </c>
      <c r="Q34" s="117" t="inlineStr">
        <is>
          <t>HORS THÈME FOOT : aucun coloriage foot générique sans licence (clubs/joueurs protégés) sur AliExpress FR. Coloriage générique listé à titre indicatif ; non vérifié en fiche.</t>
        </is>
      </c>
      <c r="R34" s="117" t="inlineStr">
        <is>
          <t>Écarter</t>
        </is>
      </c>
      <c r="S34" s="164" t="n">
        <v>46213</v>
      </c>
      <c r="T34" s="59" t="inlineStr">
        <is>
          <t>COLLECTION À REPENSER : 'coloriage foot' non sourçable sans licence. Envisager coloriage sport générique ou retirer la collection.</t>
        </is>
      </c>
      <c r="U34" t="inlineStr">
        <is>
          <t>— (produit écarté, pas de visuels)</t>
        </is>
      </c>
      <c r="W34" t="inlineStr">
        <is>
          <t>— (écarté)</t>
        </is>
      </c>
    </row>
    <row r="35">
      <c r="A35" s="57" t="inlineStr">
        <is>
          <t>coloriage-foot-2</t>
        </is>
      </c>
      <c r="B35" s="117" t="inlineStr">
        <is>
          <t>coloriage foot</t>
        </is>
      </c>
      <c r="C35" s="117" t="inlineStr">
        <is>
          <t>[hors thème] 20 feuilles autocollants 3D enfants</t>
        </is>
      </c>
      <c r="D35" s="117" t="inlineStr">
        <is>
          <t>https://fr.aliexpress.com/item/1005010384364245.html</t>
        </is>
      </c>
      <c r="E35" s="156" t="n">
        <v>9.289999999999999</v>
      </c>
      <c r="F35" s="156" t="n">
        <v>0</v>
      </c>
      <c r="G35" s="156">
        <f>IF(OR(E35="",F35=""),"",E35+F35)</f>
        <v/>
      </c>
      <c r="H35" s="156">
        <f>IFERROR(VLOOKUP(B35,'Collections'!$C$4:$L$18,10,FALSE),"")</f>
        <v/>
      </c>
      <c r="I35" s="162">
        <f>IFERROR(H35/G35,"")</f>
        <v/>
      </c>
      <c r="J35" s="163" t="n">
        <v>4.9</v>
      </c>
      <c r="K35" s="151" t="n">
        <v>362</v>
      </c>
      <c r="L35" s="117" t="inlineStr">
        <is>
          <t>N/D</t>
        </is>
      </c>
      <c r="M35" s="117" t="inlineStr">
        <is>
          <t>N/D</t>
        </is>
      </c>
      <c r="N35" s="117" t="inlineStr">
        <is>
          <t>N/D</t>
        </is>
      </c>
      <c r="O35" s="117" t="inlineStr">
        <is>
          <t>N/D</t>
        </is>
      </c>
      <c r="P35" s="117" t="inlineStr">
        <is>
          <t>Aucun angle foot viable (licence)</t>
        </is>
      </c>
      <c r="Q35" s="117" t="inlineStr">
        <is>
          <t>HORS THÈME FOOT : aucun coloriage foot générique sans licence (clubs/joueurs protégés) sur AliExpress FR. Coloriage générique listé à titre indicatif ; non vérifié en fiche.</t>
        </is>
      </c>
      <c r="R35" s="117" t="inlineStr">
        <is>
          <t>Écarter</t>
        </is>
      </c>
      <c r="S35" s="164" t="n">
        <v>46213</v>
      </c>
      <c r="T35" s="59" t="inlineStr">
        <is>
          <t>COLLECTION À REPENSER : 'coloriage foot' non sourçable sans licence. Envisager coloriage sport générique ou retirer la collection.</t>
        </is>
      </c>
      <c r="U35" t="inlineStr">
        <is>
          <t>— (produit écarté, pas de visuels)</t>
        </is>
      </c>
      <c r="W35" t="inlineStr">
        <is>
          <t>— (écarté)</t>
        </is>
      </c>
    </row>
    <row r="36">
      <c r="A36" s="57" t="inlineStr">
        <is>
          <t>coloriage-foot-3</t>
        </is>
      </c>
      <c r="B36" s="117" t="inlineStr">
        <is>
          <t>coloriage foot</t>
        </is>
      </c>
      <c r="C36" s="117" t="inlineStr">
        <is>
          <t>[hors thème] Livre d'objets cachés interactifs</t>
        </is>
      </c>
      <c r="D36" s="117" t="inlineStr">
        <is>
          <t>https://fr.aliexpress.com/item/1005010389583636.html</t>
        </is>
      </c>
      <c r="E36" s="156" t="n">
        <v>5.79</v>
      </c>
      <c r="F36" s="156" t="n">
        <v>0</v>
      </c>
      <c r="G36" s="156">
        <f>IF(OR(E36="",F36=""),"",E36+F36)</f>
        <v/>
      </c>
      <c r="H36" s="156">
        <f>IFERROR(VLOOKUP(B36,'Collections'!$C$4:$L$18,10,FALSE),"")</f>
        <v/>
      </c>
      <c r="I36" s="162">
        <f>IFERROR(H36/G36,"")</f>
        <v/>
      </c>
      <c r="J36" s="163" t="n">
        <v>4.6</v>
      </c>
      <c r="K36" s="151" t="n">
        <v>600</v>
      </c>
      <c r="L36" s="117" t="inlineStr">
        <is>
          <t>N/D</t>
        </is>
      </c>
      <c r="M36" s="117" t="inlineStr">
        <is>
          <t>N/D</t>
        </is>
      </c>
      <c r="N36" s="117" t="inlineStr">
        <is>
          <t>N/D</t>
        </is>
      </c>
      <c r="O36" s="117" t="inlineStr">
        <is>
          <t>N/D</t>
        </is>
      </c>
      <c r="P36" s="117" t="inlineStr">
        <is>
          <t>Aucun angle foot viable (licence)</t>
        </is>
      </c>
      <c r="Q36" s="117" t="inlineStr">
        <is>
          <t>HORS THÈME FOOT : aucun coloriage foot générique sans licence (clubs/joueurs protégés) sur AliExpress FR. Coloriage générique listé à titre indicatif ; non vérifié en fiche.</t>
        </is>
      </c>
      <c r="R36" s="117" t="inlineStr">
        <is>
          <t>Écarter</t>
        </is>
      </c>
      <c r="S36" s="164" t="n">
        <v>46213</v>
      </c>
      <c r="T36" s="59" t="inlineStr">
        <is>
          <t>COLLECTION À REPENSER : 'coloriage foot' non sourçable sans licence. Envisager coloriage sport générique ou retirer la collection.</t>
        </is>
      </c>
      <c r="U36" t="inlineStr">
        <is>
          <t>— (produit écarté, pas de visuels)</t>
        </is>
      </c>
      <c r="W36" t="inlineStr">
        <is>
          <t>— (écarté)</t>
        </is>
      </c>
    </row>
    <row r="37">
      <c r="A37" s="57" t="inlineStr">
        <is>
          <t>coloriage-foot-4</t>
        </is>
      </c>
      <c r="B37" s="117" t="inlineStr">
        <is>
          <t>coloriage foot</t>
        </is>
      </c>
      <c r="C37" s="117" t="inlineStr">
        <is>
          <t>[hors thème] Collection coloriage adultes</t>
        </is>
      </c>
      <c r="D37" s="117" t="inlineStr">
        <is>
          <t>https://fr.aliexpress.com/item/1005009103825234.html</t>
        </is>
      </c>
      <c r="E37" s="156" t="n">
        <v>9.99</v>
      </c>
      <c r="F37" s="156" t="n">
        <v>0</v>
      </c>
      <c r="G37" s="156">
        <f>IF(OR(E37="",F37=""),"",E37+F37)</f>
        <v/>
      </c>
      <c r="H37" s="156">
        <f>IFERROR(VLOOKUP(B37,'Collections'!$C$4:$L$18,10,FALSE),"")</f>
        <v/>
      </c>
      <c r="I37" s="162">
        <f>IFERROR(H37/G37,"")</f>
        <v/>
      </c>
      <c r="J37" s="163" t="n">
        <v>4.8</v>
      </c>
      <c r="K37" s="151" t="n">
        <v>199</v>
      </c>
      <c r="L37" s="117" t="inlineStr">
        <is>
          <t>N/D</t>
        </is>
      </c>
      <c r="M37" s="117" t="inlineStr">
        <is>
          <t>N/D</t>
        </is>
      </c>
      <c r="N37" s="117" t="inlineStr">
        <is>
          <t>N/D</t>
        </is>
      </c>
      <c r="O37" s="117" t="inlineStr">
        <is>
          <t>N/D</t>
        </is>
      </c>
      <c r="P37" s="117" t="inlineStr">
        <is>
          <t>Aucun angle foot viable (licence)</t>
        </is>
      </c>
      <c r="Q37" s="117" t="inlineStr">
        <is>
          <t>HORS THÈME FOOT : aucun coloriage foot générique sans licence (clubs/joueurs protégés) sur AliExpress FR. Coloriage générique listé à titre indicatif ; non vérifié en fiche.</t>
        </is>
      </c>
      <c r="R37" s="117" t="inlineStr">
        <is>
          <t>Écarter</t>
        </is>
      </c>
      <c r="S37" s="164" t="n">
        <v>46213</v>
      </c>
      <c r="T37" s="59" t="inlineStr">
        <is>
          <t>COLLECTION À REPENSER : 'coloriage foot' non sourçable sans licence. Envisager coloriage sport générique ou retirer la collection.</t>
        </is>
      </c>
      <c r="U37" t="inlineStr">
        <is>
          <t>— (produit écarté, pas de visuels)</t>
        </is>
      </c>
      <c r="W37" t="inlineStr">
        <is>
          <t>— (écarté)</t>
        </is>
      </c>
    </row>
    <row r="38">
      <c r="A38" s="57" t="inlineStr">
        <is>
          <t>coloriage-foot-5</t>
        </is>
      </c>
      <c r="B38" s="117" t="inlineStr">
        <is>
          <t>coloriage foot</t>
        </is>
      </c>
      <c r="C38" s="117" t="inlineStr">
        <is>
          <t>[hors thème] Comment dessiner tout : 300 dessins</t>
        </is>
      </c>
      <c r="D38" s="117" t="inlineStr">
        <is>
          <t>https://fr.aliexpress.com/item/1005009457392367.html</t>
        </is>
      </c>
      <c r="E38" s="156" t="n">
        <v>12.29</v>
      </c>
      <c r="F38" s="156" t="n">
        <v>0</v>
      </c>
      <c r="G38" s="156">
        <f>IF(OR(E38="",F38=""),"",E38+F38)</f>
        <v/>
      </c>
      <c r="H38" s="156">
        <f>IFERROR(VLOOKUP(B38,'Collections'!$C$4:$L$18,10,FALSE),"")</f>
        <v/>
      </c>
      <c r="I38" s="162">
        <f>IFERROR(H38/G38,"")</f>
        <v/>
      </c>
      <c r="J38" s="163" t="n">
        <v>5</v>
      </c>
      <c r="K38" s="151" t="n">
        <v>108</v>
      </c>
      <c r="L38" s="117" t="inlineStr">
        <is>
          <t>N/D</t>
        </is>
      </c>
      <c r="M38" s="117" t="inlineStr">
        <is>
          <t>N/D</t>
        </is>
      </c>
      <c r="N38" s="117" t="inlineStr">
        <is>
          <t>N/D</t>
        </is>
      </c>
      <c r="O38" s="117" t="inlineStr">
        <is>
          <t>N/D</t>
        </is>
      </c>
      <c r="P38" s="117" t="inlineStr">
        <is>
          <t>Aucun angle foot viable (licence)</t>
        </is>
      </c>
      <c r="Q38" s="117" t="inlineStr">
        <is>
          <t>HORS THÈME FOOT : aucun coloriage foot générique sans licence (clubs/joueurs protégés) sur AliExpress FR. Coloriage générique listé à titre indicatif ; non vérifié en fiche.</t>
        </is>
      </c>
      <c r="R38" s="117" t="inlineStr">
        <is>
          <t>Écarter</t>
        </is>
      </c>
      <c r="S38" s="164" t="n">
        <v>46213</v>
      </c>
      <c r="T38" s="59" t="inlineStr">
        <is>
          <t>COLLECTION À REPENSER : 'coloriage foot' non sourçable sans licence. Envisager coloriage sport générique ou retirer la collection.</t>
        </is>
      </c>
      <c r="U38" t="inlineStr">
        <is>
          <t>— (produit écarté, pas de visuels)</t>
        </is>
      </c>
      <c r="W38" t="inlineStr">
        <is>
          <t>— (écarté)</t>
        </is>
      </c>
    </row>
    <row r="39">
      <c r="A39" s="57" t="inlineStr">
        <is>
          <t>coloriage-fille-1</t>
        </is>
      </c>
      <c r="B39" s="117" t="inlineStr">
        <is>
          <t>coloriage fille</t>
        </is>
      </c>
      <c r="C39" s="117" t="inlineStr">
        <is>
          <t>Dot-to-dot &amp; chiffres (enfant)</t>
        </is>
      </c>
      <c r="D39" s="117" t="inlineStr">
        <is>
          <t>https://fr.aliexpress.com/item/1005009460448734.html</t>
        </is>
      </c>
      <c r="E39" s="156" t="n">
        <v>4.89</v>
      </c>
      <c r="F39" s="156" t="n">
        <v>0</v>
      </c>
      <c r="G39" s="156">
        <f>IF(OR(E39="",F39=""),"",E39+F39)</f>
        <v/>
      </c>
      <c r="H39" s="156">
        <f>IFERROR(VLOOKUP(B39,'Collections'!$C$4:$L$18,10,FALSE),"")</f>
        <v/>
      </c>
      <c r="I39" s="162">
        <f>IFERROR(H39/G39,"")</f>
        <v/>
      </c>
      <c r="J39" s="163" t="n">
        <v>4.9</v>
      </c>
      <c r="K39" s="151" t="n">
        <v>10000</v>
      </c>
      <c r="L39" s="117" t="inlineStr">
        <is>
          <t>Choice — vendeur agrégé</t>
        </is>
      </c>
      <c r="M39" s="117" t="inlineStr">
        <is>
          <t>16-20 juil. (~6-10 j)</t>
        </is>
      </c>
      <c r="N39" s="117" t="inlineStr">
        <is>
          <t>Choice</t>
        </is>
      </c>
      <c r="O39" s="117" t="inlineStr">
        <is>
          <t>Couleur: Num1-20</t>
        </is>
      </c>
      <c r="P39" s="117" t="inlineStr">
        <is>
          <t>Points à relier &amp; chiffres — apprendre en s'amusant</t>
        </is>
      </c>
      <c r="Q39" s="117" t="inlineStr">
        <is>
          <t>Papeterie/livre enfant, visuels génériques (OK licence). Vérifier texte intérieur minimal (langue). Thème fille approximatif.</t>
        </is>
      </c>
      <c r="R39" s="117" t="inlineStr">
        <is>
          <t>Retenir</t>
        </is>
      </c>
      <c r="S39" s="164" t="n">
        <v>46213</v>
      </c>
      <c r="T39" s="59" t="inlineStr">
        <is>
          <t>AliExpress Choice ; livraison gratuite dès 10€ ; note agrégée ; thème 'fille' approximatif (coloriage enfant générique)</t>
        </is>
      </c>
      <c r="U39" s="117" t="inlineStr">
        <is>
          <t>PACKSHOT — Hero packshot of the kids activity product «Dot-to-dot &amp; chiffres (enfant)» (magic water / reusable), centered on clean bright pastel background, soft shadow, ultra-sharp, soft pastel kawaii brand aesthetic, cohesive palette (blush pink, cream, mint, lilac), 1:1.
LIFESTYLE — A happy child using «Dot-to-dot &amp; chiffres (enfant)» at a bright playful table, colorful, safe, soft daylight, top-down, soft pastel kawaii brand aesthetic, cohesive palette (blush pink, cream, mint, lilac), 1:1.
EN SITUATION — Close-up of little hands revealing colors on a cute kids page of «Dot-to-dot &amp; chiffres (enfant)», joyful, shallow depth of field.
DÉTAIL — Macro of «Dot-to-dot &amp; chiffres (enfant)» pages and the water pen, cute cute kids illustrations, crisp, colorful.
FEATURE — Clean feature image of «Dot-to-dot &amp; chiffres (enfant)» with playful callouts (no mess, reusable, ages 3+), pastel palette, negative space.</t>
        </is>
      </c>
      <c r="V39" t="inlineStr">
        <is>
          <t>.../outputs/coloriage-kawaii-arborescence-2026-07-09/images_produits/39_coloriage-fille_1005009460448734</t>
        </is>
      </c>
      <c r="W39" t="inlineStr">
        <is>
          <t>Coloriage fille Dot-to-dot &amp; chiffres (enfant) | [Marque]</t>
        </is>
      </c>
      <c r="X39" t="inlineStr">
        <is>
          <t>Dot-to-dot &amp; chiffres (enfant) — coloriage fille | [Marque]</t>
        </is>
      </c>
      <c r="Y39" t="inlineStr">
        <is>
          <t>Dot-to-dot &amp; chiffres (enfant) : pour enfant, sans tache. Livraison rapide, avis vérifiés. Commandez sur [Marque] !</t>
        </is>
      </c>
      <c r="Z39" s="117" t="inlineStr">
        <is>
          <t>&lt;div class="product-desc"&gt;
  &lt;p&gt;Coloriage fille &lt;strong&gt;« Dot-to-dot &amp;amp; chiffres (enfant) »&lt;/strong&gt; — pour enfant, sans tache.&lt;/p&gt;
  &lt;p&gt;&lt;strong&gt;Occuper les enfants sans dégât ni écran, c'est possible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0">
      <c r="A40" s="57" t="inlineStr">
        <is>
          <t>coloriage-fille-2</t>
        </is>
      </c>
      <c r="B40" s="117" t="inlineStr">
        <is>
          <t>coloriage fille</t>
        </is>
      </c>
      <c r="C40" s="117" t="inlineStr">
        <is>
          <t>Peinture aquarelle nomade thème espace (enfant)</t>
        </is>
      </c>
      <c r="D40" s="117" t="inlineStr">
        <is>
          <t>https://fr.aliexpress.com/item/1005008144750930.html</t>
        </is>
      </c>
      <c r="E40" s="156" t="n">
        <v>4.79</v>
      </c>
      <c r="F40" s="156" t="n">
        <v>0</v>
      </c>
      <c r="G40" s="156">
        <f>IF(OR(E40="",F40=""),"",E40+F40)</f>
        <v/>
      </c>
      <c r="H40" s="156">
        <f>IFERROR(VLOOKUP(B40,'Collections'!$C$4:$L$18,10,FALSE),"")</f>
        <v/>
      </c>
      <c r="I40" s="162">
        <f>IFERROR(H40/G40,"")</f>
        <v/>
      </c>
      <c r="J40" s="163" t="n">
        <v>4.9</v>
      </c>
      <c r="K40" s="151" t="n">
        <v>5000</v>
      </c>
      <c r="L40" s="117" t="inlineStr">
        <is>
          <t>Choice — vendeur agrégé</t>
        </is>
      </c>
      <c r="M40" s="117" t="inlineStr">
        <is>
          <t>16-20 juil. (~6-10 j)</t>
        </is>
      </c>
      <c r="N40" s="117" t="inlineStr">
        <is>
          <t>Choice</t>
        </is>
      </c>
      <c r="O40" s="117" t="inlineStr">
        <is>
          <t>Couleur: Space</t>
        </is>
      </c>
      <c r="P40" s="117" t="inlineStr">
        <is>
          <t>Aquarelle nomade thème espace — sans tache</t>
        </is>
      </c>
      <c r="Q40" s="117" t="inlineStr">
        <is>
          <t>Papeterie/livre enfant, visuels génériques (OK licence). Vérifier texte intérieur minimal (langue). Thème fille approximatif.</t>
        </is>
      </c>
      <c r="R40" s="117" t="inlineStr">
        <is>
          <t>Retenir</t>
        </is>
      </c>
      <c r="S40" s="164" t="n">
        <v>46213</v>
      </c>
      <c r="T40" s="59" t="inlineStr">
        <is>
          <t>AliExpress Choice ; livraison gratuite dès 10€ ; note agrégée ; thème 'fille' approximatif (coloriage enfant générique)</t>
        </is>
      </c>
      <c r="U40" s="117" t="inlineStr">
        <is>
          <t>PACKSHOT — Hero packshot of the kids activity product «Peinture aquarelle nomade thème espace (enfant)» (magic water / reusable), centered on clean bright pastel background, soft shadow, ultra-sharp, soft pastel kawaii brand aesthetic, cohesive palette (blush pink, cream, mint, lilac), 1:1.
LIFESTYLE — A happy child using «Peinture aquarelle nomade thème espace (enfant)» at a bright playful table, colorful, safe, soft daylight, top-down, soft pastel kawaii brand aesthetic, cohesive palette (blush pink, cream, mint, lilac), 1:1.
EN SITUATION — Close-up of little hands revealing colors on a cute kids page of «Peinture aquarelle nomade thème espace (enfant)», joyful, shallow depth of field.
DÉTAIL — Macro of «Peinture aquarelle nomade thème espace (enfant)» pages and the water pen, cute cute kids illustrations, crisp, colorful.
FEATURE — Clean feature image of «Peinture aquarelle nomade thème espace (enfant)» with playful callouts (no mess, reusable, ages 3+), pastel palette, negative space.</t>
        </is>
      </c>
      <c r="V40" t="inlineStr">
        <is>
          <t>.../outputs/coloriage-kawaii-arborescence-2026-07-09/images_produits/40_coloriage-fille_1005008144750930</t>
        </is>
      </c>
      <c r="W40" t="inlineStr">
        <is>
          <t>Coloriage fille Peinture aquarelle nomade thème espace ( | [Marque]</t>
        </is>
      </c>
      <c r="X40" t="inlineStr">
        <is>
          <t xml:space="preserve">Peinture aquarelle nomade thème espace ( — coloriage fille </t>
        </is>
      </c>
      <c r="Y40" t="inlineStr">
        <is>
          <t>Peinture aquarelle nomade thème espace ( : pour enfant, sans tache. Livraison rapide, avis vérifiés. Commandez sur [Marque] !</t>
        </is>
      </c>
      <c r="Z40" s="117" t="inlineStr">
        <is>
          <t>&lt;div class="product-desc"&gt;
  &lt;p&gt;Coloriage fille &lt;strong&gt;« Peinture aquarelle nomade thème espace ( »&lt;/strong&gt; — pour enfant, sans tache.&lt;/p&gt;
  &lt;p&gt;&lt;strong&gt;Un cadeau créatif qui plaît vraiment aux enfants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1">
      <c r="A41" s="57" t="inlineStr">
        <is>
          <t>coloriage-fille-3</t>
        </is>
      </c>
      <c r="B41" s="117" t="inlineStr">
        <is>
          <t>coloriage fille</t>
        </is>
      </c>
      <c r="C41" s="117" t="inlineStr">
        <is>
          <t>Coloriage aquarelle enfant 12 pages</t>
        </is>
      </c>
      <c r="D41" s="117" t="inlineStr">
        <is>
          <t>https://fr.aliexpress.com/item/1005006966385910.html</t>
        </is>
      </c>
      <c r="E41" s="156" t="n">
        <v>4.69</v>
      </c>
      <c r="F41" s="156" t="n">
        <v>0</v>
      </c>
      <c r="G41" s="156">
        <f>IF(OR(E41="",F41=""),"",E41+F41)</f>
        <v/>
      </c>
      <c r="H41" s="156">
        <f>IFERROR(VLOOKUP(B41,'Collections'!$C$4:$L$18,10,FALSE),"")</f>
        <v/>
      </c>
      <c r="I41" s="162">
        <f>IFERROR(H41/G41,"")</f>
        <v/>
      </c>
      <c r="J41" s="163" t="n">
        <v>4.8</v>
      </c>
      <c r="K41" s="151" t="n">
        <v>5000</v>
      </c>
      <c r="L41" s="117" t="inlineStr">
        <is>
          <t>Choice — vendeur agrégé</t>
        </is>
      </c>
      <c r="M41" s="117" t="inlineStr">
        <is>
          <t>13-25 juil. (~3-15 j)</t>
        </is>
      </c>
      <c r="N41" s="117" t="inlineStr">
        <is>
          <t>Choice</t>
        </is>
      </c>
      <c r="O41" s="117" t="inlineStr">
        <is>
          <t>Couleur: Diverse Cuisine</t>
        </is>
      </c>
      <c r="P41" s="117" t="inlineStr">
        <is>
          <t>Coloriage aquarelle enfant — réutilisable sans tache</t>
        </is>
      </c>
      <c r="Q41" s="117" t="inlineStr">
        <is>
          <t>Papeterie/livre enfant, visuels génériques (OK licence). Vérifier texte intérieur minimal (langue). Thème fille approximatif.</t>
        </is>
      </c>
      <c r="R41" s="117" t="inlineStr">
        <is>
          <t>Retenir</t>
        </is>
      </c>
      <c r="S41" s="164" t="n">
        <v>46213</v>
      </c>
      <c r="T41" s="59" t="inlineStr">
        <is>
          <t>AliExpress Choice ; livraison gratuite dès 10€ ; note agrégée ; thème 'fille' approximatif (coloriage enfant générique)</t>
        </is>
      </c>
      <c r="U41" s="117" t="inlineStr">
        <is>
          <t>PACKSHOT — Hero packshot of the kids activity product «Coloriage aquarelle enfant 12 pages» (magic water / reusable), centered on clean bright pastel background, soft shadow, ultra-sharp, soft pastel kawaii brand aesthetic, cohesive palette (blush pink, cream, mint, lilac), 1:1.
LIFESTYLE — A happy child using «Coloriage aquarelle enfant 12 pages» at a bright playful table, colorful, safe, soft daylight, top-down, soft pastel kawaii brand aesthetic, cohesive palette (blush pink, cream, mint, lilac), 1:1.
EN SITUATION — Close-up of little hands revealing colors on a cute kids page of «Coloriage aquarelle enfant 12 pages», joyful, shallow depth of field.
DÉTAIL — Macro of «Coloriage aquarelle enfant 12 pages» pages and the water pen, cute cute kids illustrations, crisp, colorful.
FEATURE — Clean feature image of «Coloriage aquarelle enfant 12 pages» with playful callouts (no mess, reusable, ages 3+), pastel palette, negative space.</t>
        </is>
      </c>
      <c r="V41" t="inlineStr">
        <is>
          <t>.../outputs/coloriage-kawaii-arborescence-2026-07-09/images_produits/41_coloriage-fille_1005006966385910</t>
        </is>
      </c>
      <c r="W41" t="inlineStr">
        <is>
          <t>Coloriage fille aquarelle enfant 12 pages | [Marque]</t>
        </is>
      </c>
      <c r="X41" t="inlineStr">
        <is>
          <t>aquarelle enfant 12 pages — coloriage fille | [Marque]</t>
        </is>
      </c>
      <c r="Y41" t="inlineStr">
        <is>
          <t>aquarelle enfant 12 pages : pour enfant, sans tache. Livraison rapide, avis vérifiés. Commandez sur [Marque] !</t>
        </is>
      </c>
      <c r="Z41" s="117" t="inlineStr">
        <is>
          <t>&lt;div class="product-desc"&gt;
  &lt;p&gt;Coloriage fille &lt;strong&gt;« aquarelle enfant 12 pages »&lt;/strong&gt; — pour enfant, sans tache.&lt;/p&gt;
  &lt;p&gt;&lt;strong&gt;Marre des taches de feutre partout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2">
      <c r="A42" s="57" t="inlineStr">
        <is>
          <t>coloriage-fille-4</t>
        </is>
      </c>
      <c r="B42" s="117" t="inlineStr">
        <is>
          <t>coloriage fille</t>
        </is>
      </c>
      <c r="C42" s="117" t="inlineStr">
        <is>
          <t>Cherche-et-trouve 100+ pages (enfant)</t>
        </is>
      </c>
      <c r="D42" s="117" t="inlineStr">
        <is>
          <t>https://fr.aliexpress.com/item/1005010101266777.html</t>
        </is>
      </c>
      <c r="E42" s="156" t="n">
        <v>3.69</v>
      </c>
      <c r="F42" s="156" t="n">
        <v>0</v>
      </c>
      <c r="G42" s="156">
        <f>IF(OR(E42="",F42=""),"",E42+F42)</f>
        <v/>
      </c>
      <c r="H42" s="156">
        <f>IFERROR(VLOOKUP(B42,'Collections'!$C$4:$L$18,10,FALSE),"")</f>
        <v/>
      </c>
      <c r="I42" s="162">
        <f>IFERROR(H42/G42,"")</f>
        <v/>
      </c>
      <c r="J42" s="163" t="n">
        <v>4.7</v>
      </c>
      <c r="K42" s="151" t="n">
        <v>10000</v>
      </c>
      <c r="L42" s="117" t="inlineStr">
        <is>
          <t>Choice — vendeur agrégé</t>
        </is>
      </c>
      <c r="M42" s="117" t="inlineStr">
        <is>
          <t>16-20 juil. (~6-10 j)</t>
        </is>
      </c>
      <c r="N42" s="117" t="inlineStr">
        <is>
          <t>Choice</t>
        </is>
      </c>
      <c r="O42" s="117" t="inlineStr">
        <is>
          <t>Couleur: Look Find</t>
        </is>
      </c>
      <c r="P42" s="117" t="inlineStr">
        <is>
          <t>Cherche-et-trouve 100+ pages — occupe les enfants</t>
        </is>
      </c>
      <c r="Q42" s="117" t="inlineStr">
        <is>
          <t>Papeterie/livre enfant, visuels génériques (OK licence). Vérifier texte intérieur minimal (langue). Thème fille approximatif.</t>
        </is>
      </c>
      <c r="R42" s="117" t="inlineStr">
        <is>
          <t>Retenir</t>
        </is>
      </c>
      <c r="S42" s="164" t="n">
        <v>46213</v>
      </c>
      <c r="T42" s="59" t="inlineStr">
        <is>
          <t>AliExpress Choice ; livraison gratuite dès 10€ ; note agrégée ; thème 'fille' approximatif (coloriage enfant générique)</t>
        </is>
      </c>
      <c r="U42" s="117" t="inlineStr">
        <is>
          <t>PACKSHOT — Hero packshot of the kids activity product «Cherche-et-trouve 100+ pages (enfant)» (magic water / reusable), centered on clean bright pastel background, soft shadow, ultra-sharp, soft pastel kawaii brand aesthetic, cohesive palette (blush pink, cream, mint, lilac), 1:1.
LIFESTYLE — A happy child using «Cherche-et-trouve 100+ pages (enfant)» at a bright playful table, colorful, safe, soft daylight, top-down, soft pastel kawaii brand aesthetic, cohesive palette (blush pink, cream, mint, lilac), 1:1.
EN SITUATION — Close-up of little hands revealing colors on a cute kids page of «Cherche-et-trouve 100+ pages (enfant)», joyful, shallow depth of field.
DÉTAIL — Macro of «Cherche-et-trouve 100+ pages (enfant)» pages and the water pen, cute cute kids illustrations, crisp, colorful.
FEATURE — Clean feature image of «Cherche-et-trouve 100+ pages (enfant)» with playful callouts (no mess, reusable, ages 3+), pastel palette, negative space.</t>
        </is>
      </c>
      <c r="V42" t="inlineStr">
        <is>
          <t>.../outputs/coloriage-kawaii-arborescence-2026-07-09/images_produits/42_coloriage-fille_1005010101266777</t>
        </is>
      </c>
      <c r="W42" t="inlineStr">
        <is>
          <t>Coloriage fille Cherche-et-trouve 100+ pages (enfant) | [Marque]</t>
        </is>
      </c>
      <c r="X42" t="inlineStr">
        <is>
          <t>Cherche-et-trouve 100+ pages (enfant) — coloriage fille | [</t>
        </is>
      </c>
      <c r="Y42" t="inlineStr">
        <is>
          <t>Cherche-et-trouve 100+ pages (enfant) : pour enfant, sans tache. Livraison rapide, avis vérifiés. Commandez sur [Marque] !</t>
        </is>
      </c>
      <c r="Z42" s="117" t="inlineStr">
        <is>
          <t>&lt;div class="product-desc"&gt;
  &lt;p&gt;Coloriage fille &lt;strong&gt;« Cherche-et-trouve 100+ pages (enfant) »&lt;/strong&gt; — pour enfant, sans tache.&lt;/p&gt;
  &lt;p&gt;&lt;strong&gt;Occuper les enfants sans dégât ni écran, c'est possible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3">
      <c r="A43" s="57" t="inlineStr">
        <is>
          <t>coloriage-fille-5</t>
        </is>
      </c>
      <c r="B43" s="117" t="inlineStr">
        <is>
          <t>coloriage fille</t>
        </is>
      </c>
      <c r="C43" s="117" t="inlineStr">
        <is>
          <t>Coloriage doodle enfant (cadeau)</t>
        </is>
      </c>
      <c r="D43" s="117" t="inlineStr">
        <is>
          <t>https://fr.aliexpress.com/item/1005009709618781.html</t>
        </is>
      </c>
      <c r="E43" s="156" t="n">
        <v>5.09</v>
      </c>
      <c r="F43" s="156" t="n">
        <v>0</v>
      </c>
      <c r="G43" s="156">
        <f>IF(OR(E43="",F43=""),"",E43+F43)</f>
        <v/>
      </c>
      <c r="H43" s="156">
        <f>IFERROR(VLOOKUP(B43,'Collections'!$C$4:$L$18,10,FALSE),"")</f>
        <v/>
      </c>
      <c r="I43" s="162">
        <f>IFERROR(H43/G43,"")</f>
        <v/>
      </c>
      <c r="J43" s="163" t="n">
        <v>4.7</v>
      </c>
      <c r="K43" s="151" t="n">
        <v>4000</v>
      </c>
      <c r="L43" s="117" t="inlineStr">
        <is>
          <t>Choice — vendeur agrégé</t>
        </is>
      </c>
      <c r="M43" s="117" t="inlineStr">
        <is>
          <t>13-25 juil. (~3-15 j)</t>
        </is>
      </c>
      <c r="N43" s="117" t="inlineStr">
        <is>
          <t>Choice</t>
        </is>
      </c>
      <c r="O43" s="117" t="inlineStr">
        <is>
          <t>Couleur: 1 pièce Aléatoire</t>
        </is>
      </c>
      <c r="P43" s="117" t="inlineStr">
        <is>
          <t>Coloriage doodle enfant — cadeau anniversaire</t>
        </is>
      </c>
      <c r="Q43" s="117" t="inlineStr">
        <is>
          <t>Papeterie/livre enfant, visuels génériques (OK licence). Vérifier texte intérieur minimal (langue). Thème fille approximatif. ATTENTION variante 'Version chinoise' : choisir version sans texte.</t>
        </is>
      </c>
      <c r="R43" s="117" t="inlineStr">
        <is>
          <t>Retenir</t>
        </is>
      </c>
      <c r="S43" s="164" t="n">
        <v>46213</v>
      </c>
      <c r="T43" s="59" t="inlineStr">
        <is>
          <t>AliExpress Choice ; livraison gratuite dès 10€ ; note agrégée ; thème 'fille' approximatif (coloriage enfant générique)</t>
        </is>
      </c>
      <c r="U43" s="117" t="inlineStr">
        <is>
          <t>PACKSHOT — Hero packshot of the kids activity product «Coloriage doodle enfant (cadeau)» (magic water / reusable), centered on clean bright pastel background, soft shadow, ultra-sharp, soft pastel kawaii brand aesthetic, cohesive palette (blush pink, cream, mint, lilac), 1:1.
LIFESTYLE — A happy child using «Coloriage doodle enfant (cadeau)» at a bright playful table, colorful, safe, soft daylight, top-down, soft pastel kawaii brand aesthetic, cohesive palette (blush pink, cream, mint, lilac), 1:1.
EN SITUATION — Close-up of little hands revealing colors on a cute kids page of «Coloriage doodle enfant (cadeau)», joyful, shallow depth of field.
DÉTAIL — Macro of «Coloriage doodle enfant (cadeau)» pages and the water pen, cute cute kids illustrations, crisp, colorful.
FEATURE — Clean feature image of «Coloriage doodle enfant (cadeau)» with playful callouts (no mess, reusable, ages 3+), pastel palette, negative space.</t>
        </is>
      </c>
      <c r="V43" t="inlineStr">
        <is>
          <t>.../outputs/coloriage-kawaii-arborescence-2026-07-09/images_produits/43_coloriage-fille_1005009709618781</t>
        </is>
      </c>
      <c r="W43" t="inlineStr">
        <is>
          <t>Coloriage fille doodle enfant (cadeau) | [Marque]</t>
        </is>
      </c>
      <c r="X43" t="inlineStr">
        <is>
          <t>doodle enfant (cadeau) — coloriage fille | [Marque]</t>
        </is>
      </c>
      <c r="Y43" t="inlineStr">
        <is>
          <t>doodle enfant (cadeau) : pour enfant, sans tache. Livraison rapide, avis vérifiés. Commandez sur [Marque] !</t>
        </is>
      </c>
      <c r="Z43" s="117" t="inlineStr">
        <is>
          <t>&lt;div class="product-desc"&gt;
  &lt;p&gt;Coloriage fille &lt;strong&gt;« doodle enfant (cadeau) »&lt;/strong&gt; — pour enfant, sans tache.&lt;/p&gt;
  &lt;p&gt;&lt;strong&gt;Un cadeau créatif qui plaît vraiment aux enfants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4">
      <c r="A44" s="57" t="inlineStr">
        <is>
          <t>coloriage-kawaii-fille-1</t>
        </is>
      </c>
      <c r="B44" s="117" t="inlineStr">
        <is>
          <t>coloriage kawaii fille</t>
        </is>
      </c>
      <c r="C44" s="117" t="inlineStr">
        <is>
          <t>[ÉCARTÉ licence] Peinture à l'eau Disney/Frozen</t>
        </is>
      </c>
      <c r="D44" s="117" t="inlineStr">
        <is>
          <t>https://fr.aliexpress.com/item/1005008248103321.html</t>
        </is>
      </c>
      <c r="E44" s="156" t="n">
        <v>5.19</v>
      </c>
      <c r="F44" s="156" t="n">
        <v>0</v>
      </c>
      <c r="G44" s="156">
        <f>IF(OR(E44="",F44=""),"",E44+F44)</f>
        <v/>
      </c>
      <c r="H44" s="156">
        <f>IFERROR(VLOOKUP(B44,'Collections'!$C$4:$L$18,10,FALSE),"")</f>
        <v/>
      </c>
      <c r="I44" s="162">
        <f>IFERROR(H44/G44,"")</f>
        <v/>
      </c>
      <c r="J44" s="163" t="n">
        <v>4.9</v>
      </c>
      <c r="K44" s="151" t="n">
        <v>5000</v>
      </c>
      <c r="L44" s="117" t="inlineStr">
        <is>
          <t>Choice — vendeur agrégé</t>
        </is>
      </c>
      <c r="M44" s="117" t="inlineStr">
        <is>
          <t>18-23 juil.</t>
        </is>
      </c>
      <c r="N44" s="117" t="inlineStr">
        <is>
          <t>Choice</t>
        </is>
      </c>
      <c r="O44" s="117" t="inlineStr">
        <is>
          <t>Couleur: 4</t>
        </is>
      </c>
      <c r="P44" s="117" t="inlineStr">
        <is>
          <t>Aucun (licence Disney/Frozen)</t>
        </is>
      </c>
      <c r="Q44" s="117" t="inlineStr">
        <is>
          <t>ÉCARTÉ : licence Disney/Frozen ('congelée') — visuels protégés.</t>
        </is>
      </c>
      <c r="R44" s="117" t="inlineStr">
        <is>
          <t>Écarter</t>
        </is>
      </c>
      <c r="S44" s="164" t="n">
        <v>46213</v>
      </c>
      <c r="T44" s="59" t="inlineStr">
        <is>
          <t>AliExpress Choice ; livraison gratuite dès 10€ ; note agrégée ; LICENCE Disney</t>
        </is>
      </c>
      <c r="U44" t="inlineStr">
        <is>
          <t>— (produit écarté, pas de visuels)</t>
        </is>
      </c>
      <c r="W44" t="inlineStr">
        <is>
          <t>— (écarté)</t>
        </is>
      </c>
    </row>
    <row r="45">
      <c r="A45" s="57" t="inlineStr">
        <is>
          <t>coloriage-kawaii-fille-2</t>
        </is>
      </c>
      <c r="B45" s="117" t="inlineStr">
        <is>
          <t>coloriage kawaii fille</t>
        </is>
      </c>
      <c r="C45" s="117" t="inlineStr">
        <is>
          <t>Coloriage château féerique (20 p., fille)</t>
        </is>
      </c>
      <c r="D45" s="117" t="inlineStr">
        <is>
          <t>https://fr.aliexpress.com/item/1005010572734415.html</t>
        </is>
      </c>
      <c r="E45" s="156" t="n">
        <v>6.99</v>
      </c>
      <c r="F45" s="156" t="n">
        <v>0</v>
      </c>
      <c r="G45" s="156">
        <f>IF(OR(E45="",F45=""),"",E45+F45)</f>
        <v/>
      </c>
      <c r="H45" s="156">
        <f>IFERROR(VLOOKUP(B45,'Collections'!$C$4:$L$18,10,FALSE),"")</f>
        <v/>
      </c>
      <c r="I45" s="162">
        <f>IFERROR(H45/G45,"")</f>
        <v/>
      </c>
      <c r="J45" s="163" t="n">
        <v>4.9</v>
      </c>
      <c r="K45" s="151" t="n">
        <v>700</v>
      </c>
      <c r="L45" s="117" t="inlineStr">
        <is>
          <t>Choice — vendeur agrégé</t>
        </is>
      </c>
      <c r="M45" s="117" t="inlineStr">
        <is>
          <t>16-20 juil. (~6-10 j)</t>
        </is>
      </c>
      <c r="N45" s="117" t="inlineStr">
        <is>
          <t>Choice</t>
        </is>
      </c>
      <c r="O45" s="117" t="inlineStr">
        <is>
          <t>Couleur: 459</t>
        </is>
      </c>
      <c r="P45" s="117" t="inlineStr">
        <is>
          <t>Coloriage château féerique — cadeau fille, univers magique</t>
        </is>
      </c>
      <c r="Q45" s="117" t="inlineStr">
        <is>
          <t>Livre papier, visuels kawaii génériques (OK licence). Vérifier texte intérieur minimal (langue).</t>
        </is>
      </c>
      <c r="R45" s="117" t="inlineStr">
        <is>
          <t>Retenir</t>
        </is>
      </c>
      <c r="S45" s="164" t="n">
        <v>46213</v>
      </c>
      <c r="T45" s="59" t="inlineStr">
        <is>
          <t>AliExpress Choice ; livraison gratuite dès 10€ ; note agrégée ; marge x2,85 unité (x3+ en lot ≥2)</t>
        </is>
      </c>
      <c r="U45" s="117" t="inlineStr">
        <is>
          <t>PACKSHOT — E-commerce hero packshot of the coloring book «Coloriage château féerique (20 p., fille)», cover facing forward, centered on a clean seamless pastel background, soft studio shadow, ultra-sharp, soft pastel kawaii brand aesthetic, cohesive palette (blush pink, cream, mint, lilac), 1:1 square.
LIFESTYLE — Top-down flat-lay of «Coloriage château féerique (20 p., fille)» on a cozy pastel desk with colored pencils, a warm drink and a small plush, soft natural morning light, hygge kawaii mood, soft pastel kawaii brand aesthetic, cohesive palette (blush pink, cream, mint, lilac), 1:1.
EN SITUATION — Close-up of a person's hands coloring a kawaii girly page from «Coloriage château féerique (20 p., fille)», cozy blanket, shallow depth of field, warm soft tones.
DÉTAIL — Macro of the open inner pages of «Coloriage château féerique (20 p., fille)» showing cute kawaii girly line-art illustrations, crisp lines, shallow depth of field.
FEATURE — Clean product feature image of «Coloriage château féerique (20 p., fille)» standing upright with minimal text callouts (page count, thick paper, anti-stress), soft pastel kawaii brand aesthetic, cohesive palette (blush pink, cream, mint, lilac), generous negative space for headline.</t>
        </is>
      </c>
      <c r="V45" t="inlineStr">
        <is>
          <t>.../outputs/coloriage-kawaii-arborescence-2026-07-09/images_produits/45_coloriage-kawaii-fille_1005010572734415</t>
        </is>
      </c>
      <c r="W45" t="inlineStr">
        <is>
          <t>Coloriage kawaii fille château féerique (20 p., fille) | [Marque]</t>
        </is>
      </c>
      <c r="X45" t="inlineStr">
        <is>
          <t xml:space="preserve">château féerique (20 p., fille) — coloriage kawaii fille | </t>
        </is>
      </c>
      <c r="Y45" t="inlineStr">
        <is>
          <t>château féerique (20 p., fille) : kawaii, girly et mignon. Livraison rapide, avis vérifiés. Commandez sur [Marque] !</t>
        </is>
      </c>
      <c r="Z45" s="117" t="inlineStr">
        <is>
          <t>&lt;div class="product-desc"&gt;
  &lt;p&gt;Coloriage kawaii fille &lt;strong&gt;« château féerique (20 p., fille) »&lt;/strong&gt; — kawaii, girly et mignon.&lt;/p&gt;
  &lt;p&gt;&lt;strong&gt;Occuper les enfants sans dégât ni écran, c'est possible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6">
      <c r="A46" s="57" t="inlineStr">
        <is>
          <t>coloriage-kawaii-fille-3</t>
        </is>
      </c>
      <c r="B46" s="117" t="inlineStr">
        <is>
          <t>coloriage kawaii fille</t>
        </is>
      </c>
      <c r="C46" s="117" t="inlineStr">
        <is>
          <t>Coloriage 'Creepy Kawaii' (papier épais)</t>
        </is>
      </c>
      <c r="D46" s="117" t="inlineStr">
        <is>
          <t>https://fr.aliexpress.com/item/1005010089097935.html</t>
        </is>
      </c>
      <c r="E46" s="156" t="n">
        <v>6.09</v>
      </c>
      <c r="F46" s="156" t="n">
        <v>0</v>
      </c>
      <c r="G46" s="156">
        <f>IF(OR(E46="",F46=""),"",E46+F46)</f>
        <v/>
      </c>
      <c r="H46" s="156">
        <f>IFERROR(VLOOKUP(B46,'Collections'!$C$4:$L$18,10,FALSE),"")</f>
        <v/>
      </c>
      <c r="I46" s="162">
        <f>IFERROR(H46/G46,"")</f>
        <v/>
      </c>
      <c r="J46" s="163" t="n">
        <v>4.9</v>
      </c>
      <c r="K46" s="151" t="n">
        <v>700</v>
      </c>
      <c r="L46" s="117" t="inlineStr">
        <is>
          <t>Choice — vendeur agrégé</t>
        </is>
      </c>
      <c r="M46" s="117" t="inlineStr">
        <is>
          <t>16-20 juil. (~6-10 j)</t>
        </is>
      </c>
      <c r="N46" s="117" t="inlineStr">
        <is>
          <t>Choice</t>
        </is>
      </c>
      <c r="O46" s="117" t="inlineStr">
        <is>
          <t>Couleur: G-008</t>
        </is>
      </c>
      <c r="P46" s="117" t="inlineStr">
        <is>
          <t>Coloriage 'creepy kawaii' — mignon-sombre tendance ado</t>
        </is>
      </c>
      <c r="Q46" s="117" t="inlineStr">
        <is>
          <t>Livre papier, visuels kawaii génériques (OK licence). Vérifier texte intérieur minimal (langue).</t>
        </is>
      </c>
      <c r="R46" s="117" t="inlineStr">
        <is>
          <t>Retenir</t>
        </is>
      </c>
      <c r="S46" s="164" t="n">
        <v>46213</v>
      </c>
      <c r="T46" s="59" t="inlineStr">
        <is>
          <t>AliExpress Choice ; livraison gratuite dès 10€ ; note agrégée</t>
        </is>
      </c>
      <c r="U46" s="117" t="inlineStr">
        <is>
          <t>PACKSHOT — E-commerce hero packshot of the coloring book «Coloriage 'Creepy Kawaii' (papier épais)», cover facing forward, centered on a clean seamless pastel background, soft studio shadow, ultra-sharp, soft pastel kawaii brand aesthetic, cohesive palette (blush pink, cream, mint, lilac), 1:1 square.
LIFESTYLE — Top-down flat-lay of «Coloriage 'Creepy Kawaii' (papier épais)» on a cozy pastel desk with colored pencils, a warm drink and a small plush, soft natural morning light, hygge kawaii mood, soft pastel kawaii brand aesthetic, cohesive palette (blush pink, cream, mint, lilac), 1:1.
EN SITUATION — Close-up of a person's hands coloring a kawaii girly page from «Coloriage 'Creepy Kawaii' (papier épais)», cozy blanket, shallow depth of field, warm soft tones.
DÉTAIL — Macro of the open inner pages of «Coloriage 'Creepy Kawaii' (papier épais)» showing cute kawaii girly line-art illustrations, crisp lines, shallow depth of field.
FEATURE — Clean product feature image of «Coloriage 'Creepy Kawaii' (papier épais)» standing upright with minimal text callouts (page count, thick paper, anti-stress), soft pastel kawaii brand aesthetic, cohesive palette (blush pink, cream, mint, lilac), generous negative space for headline.</t>
        </is>
      </c>
      <c r="V46" t="inlineStr">
        <is>
          <t>.../outputs/coloriage-kawaii-arborescence-2026-07-09/images_produits/46_coloriage-kawaii-fille_1005010089097935</t>
        </is>
      </c>
      <c r="W46" t="inlineStr">
        <is>
          <t>Coloriage kawaii fille 'Creepy Kawaii' (papier épais) | [Marque]</t>
        </is>
      </c>
      <c r="X46" t="inlineStr">
        <is>
          <t>'Creepy Kawaii' (papier épais) — coloriage kawaii fille | [</t>
        </is>
      </c>
      <c r="Y46" t="inlineStr">
        <is>
          <t>'Creepy Kawaii' (papier épais) : kawaii, girly et mignon. Livraison rapide, avis vérifiés. Commandez sur [Marque] !</t>
        </is>
      </c>
      <c r="Z46" s="117" t="inlineStr">
        <is>
          <t>&lt;div class="product-desc"&gt;
  &lt;p&gt;Coloriage kawaii fille &lt;strong&gt;« 'Creepy Kawaii' (papier épais) »&lt;/strong&gt; — kawaii, girly et mignon.&lt;/p&gt;
  &lt;p&gt;&lt;strong&gt;Un cadeau créatif qui plaît vraiment aux enfants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7">
      <c r="A47" s="57" t="inlineStr">
        <is>
          <t>coloriage-kawaii-fille-4</t>
        </is>
      </c>
      <c r="B47" s="117" t="inlineStr">
        <is>
          <t>coloriage kawaii fille</t>
        </is>
      </c>
      <c r="C47" s="117" t="inlineStr">
        <is>
          <t>Coloriage chats adorables (24 p., relaxation)</t>
        </is>
      </c>
      <c r="D47" s="117" t="inlineStr">
        <is>
          <t>https://fr.aliexpress.com/item/1005009278092348.html</t>
        </is>
      </c>
      <c r="E47" s="156" t="n">
        <v>6.59</v>
      </c>
      <c r="F47" s="156" t="n">
        <v>0</v>
      </c>
      <c r="G47" s="156">
        <f>IF(OR(E47="",F47=""),"",E47+F47)</f>
        <v/>
      </c>
      <c r="H47" s="156">
        <f>IFERROR(VLOOKUP(B47,'Collections'!$C$4:$L$18,10,FALSE),"")</f>
        <v/>
      </c>
      <c r="I47" s="162">
        <f>IFERROR(H47/G47,"")</f>
        <v/>
      </c>
      <c r="J47" s="163" t="n">
        <v>4.9</v>
      </c>
      <c r="K47" s="151" t="n">
        <v>700</v>
      </c>
      <c r="L47" s="117" t="inlineStr">
        <is>
          <t>Choice — vendeur agrégé</t>
        </is>
      </c>
      <c r="M47" s="117" t="inlineStr">
        <is>
          <t>16-20 juil. (~6-10 j)</t>
        </is>
      </c>
      <c r="N47" s="117" t="inlineStr">
        <is>
          <t>Choice</t>
        </is>
      </c>
      <c r="O47" s="117" t="inlineStr">
        <is>
          <t>Standard</t>
        </is>
      </c>
      <c r="P47" s="117" t="inlineStr">
        <is>
          <t>Coloriage chats adorables — détente girly / cat-lovers</t>
        </is>
      </c>
      <c r="Q47" s="117" t="inlineStr">
        <is>
          <t>Livre papier, visuels kawaii génériques (OK licence). Vérifier texte intérieur minimal (langue).</t>
        </is>
      </c>
      <c r="R47" s="117" t="inlineStr">
        <is>
          <t>Retenir</t>
        </is>
      </c>
      <c r="S47" s="164" t="n">
        <v>46213</v>
      </c>
      <c r="T47" s="59" t="inlineStr">
        <is>
          <t>AliExpress Choice ; livraison gratuite dès 10€ ; note agrégée</t>
        </is>
      </c>
      <c r="U47" s="117" t="inlineStr">
        <is>
          <t>PACKSHOT — E-commerce hero packshot of the coloring book «Coloriage chats adorables (24 p., relaxation)», cover facing forward, centered on a clean seamless pastel background, soft studio shadow, ultra-sharp, soft pastel kawaii brand aesthetic, cohesive palette (blush pink, cream, mint, lilac), 1:1 square.
LIFESTYLE — Top-down flat-lay of «Coloriage chats adorables (24 p., relaxation)» on a cozy pastel desk with colored pencils, a warm drink and a small plush, soft natural morning light, hygge kawaii mood, soft pastel kawaii brand aesthetic, cohesive palette (blush pink, cream, mint, lilac), 1:1.
EN SITUATION — Close-up of a person's hands coloring a kawaii girly page from «Coloriage chats adorables (24 p., relaxation)», cozy blanket, shallow depth of field, warm soft tones.
DÉTAIL — Macro of the open inner pages of «Coloriage chats adorables (24 p., relaxation)» showing cute kawaii girly line-art illustrations, crisp lines, shallow depth of field.
FEATURE — Clean product feature image of «Coloriage chats adorables (24 p., relaxation)» standing upright with minimal text callouts (page count, thick paper, anti-stress), soft pastel kawaii brand aesthetic, cohesive palette (blush pink, cream, mint, lilac), generous negative space for headline.</t>
        </is>
      </c>
      <c r="V47" t="inlineStr">
        <is>
          <t>.../outputs/coloriage-kawaii-arborescence-2026-07-09/images_produits/47_coloriage-kawaii-fille_1005009278092348</t>
        </is>
      </c>
      <c r="W47" t="inlineStr">
        <is>
          <t>Coloriage kawaii fille chats adorables (24 p., relaxation) | [Marque]</t>
        </is>
      </c>
      <c r="X47" t="inlineStr">
        <is>
          <t>chats adorables (24 p., relaxation) — coloriage kawaii fill</t>
        </is>
      </c>
      <c r="Y47" t="inlineStr">
        <is>
          <t>chats adorables (24 p., relaxation) : kawaii, girly et mignon. Livraison rapide, avis vérifiés. Commandez sur [Marque] !</t>
        </is>
      </c>
      <c r="Z47" s="117" t="inlineStr">
        <is>
          <t>&lt;div class="product-desc"&gt;
  &lt;p&gt;Coloriage kawaii fille &lt;strong&gt;« chats adorables (24 p., relaxation) »&lt;/strong&gt; — kawaii, girly et mignon.&lt;/p&gt;
  &lt;p&gt;&lt;strong&gt;Marre des taches de feutre partout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8">
      <c r="A48" s="57" t="inlineStr">
        <is>
          <t>coloriage-kawaii-fille-5</t>
        </is>
      </c>
      <c r="B48" s="117" t="inlineStr">
        <is>
          <t>coloriage kawaii fille</t>
        </is>
      </c>
      <c r="C48" s="117" t="inlineStr">
        <is>
          <t>Aquarelle portable fleurs de cerisier (4 f.)</t>
        </is>
      </c>
      <c r="D48" s="117" t="inlineStr">
        <is>
          <t>https://fr.aliexpress.com/item/1005007866125727.html</t>
        </is>
      </c>
      <c r="E48" s="156" t="n">
        <v>6.39</v>
      </c>
      <c r="F48" s="156" t="n">
        <v>0</v>
      </c>
      <c r="G48" s="156">
        <f>IF(OR(E48="",F48=""),"",E48+F48)</f>
        <v/>
      </c>
      <c r="H48" s="156">
        <f>IFERROR(VLOOKUP(B48,'Collections'!$C$4:$L$18,10,FALSE),"")</f>
        <v/>
      </c>
      <c r="I48" s="162">
        <f>IFERROR(H48/G48,"")</f>
        <v/>
      </c>
      <c r="J48" s="163" t="n">
        <v>4.7</v>
      </c>
      <c r="K48" s="151" t="n">
        <v>1000</v>
      </c>
      <c r="L48" s="117" t="inlineStr">
        <is>
          <t>Choice — vendeur agrégé</t>
        </is>
      </c>
      <c r="M48" s="117" t="inlineStr">
        <is>
          <t>16-20 juil. (~6-10 j)</t>
        </is>
      </c>
      <c r="N48" s="117" t="inlineStr">
        <is>
          <t>Choice</t>
        </is>
      </c>
      <c r="O48" s="117" t="inlineStr">
        <is>
          <t>Couleur: Cherry blossom</t>
        </is>
      </c>
      <c r="P48" s="117" t="inlineStr">
        <is>
          <t>Aquarelle portable fleurs de cerisier — kawaii nomade</t>
        </is>
      </c>
      <c r="Q48" s="117" t="inlineStr">
        <is>
          <t>Livre papier, visuels kawaii génériques (OK licence). Vérifier texte intérieur minimal (langue).</t>
        </is>
      </c>
      <c r="R48" s="117" t="inlineStr">
        <is>
          <t>Retenir</t>
        </is>
      </c>
      <c r="S48" s="164" t="n">
        <v>46213</v>
      </c>
      <c r="T48" s="59" t="inlineStr">
        <is>
          <t>AliExpress Choice ; livraison gratuite dès 10€ ; note agrégée</t>
        </is>
      </c>
      <c r="U48" s="117" t="inlineStr">
        <is>
          <t>PACKSHOT — E-commerce hero packshot of the coloring book «Aquarelle portable fleurs de cerisier (4 f.)», cover facing forward, centered on a clean seamless pastel background, soft studio shadow, ultra-sharp, soft pastel kawaii brand aesthetic, cohesive palette (blush pink, cream, mint, lilac), 1:1 square.
LIFESTYLE — Top-down flat-lay of «Aquarelle portable fleurs de cerisier (4 f.)» on a cozy pastel desk with colored pencils, a warm drink and a small plush, soft natural morning light, hygge kawaii mood, soft pastel kawaii brand aesthetic, cohesive palette (blush pink, cream, mint, lilac), 1:1.
EN SITUATION — Close-up of a person's hands coloring a kawaii girly page from «Aquarelle portable fleurs de cerisier (4 f.)», cozy blanket, shallow depth of field, warm soft tones.
DÉTAIL — Macro of the open inner pages of «Aquarelle portable fleurs de cerisier (4 f.)» showing cute kawaii girly line-art illustrations, crisp lines, shallow depth of field.
FEATURE — Clean product feature image of «Aquarelle portable fleurs de cerisier (4 f.)» standing upright with minimal text callouts (page count, thick paper, anti-stress), soft pastel kawaii brand aesthetic, cohesive palette (blush pink, cream, mint, lilac), generous negative space for headline.</t>
        </is>
      </c>
      <c r="V48" t="inlineStr">
        <is>
          <t>.../outputs/coloriage-kawaii-arborescence-2026-07-09/images_produits/48_coloriage-kawaii-fille_1005007866125727</t>
        </is>
      </c>
      <c r="W48" t="inlineStr">
        <is>
          <t>Coloriage kawaii fille Aquarelle portable fleurs de cerisier (4 | [Ma</t>
        </is>
      </c>
      <c r="X48" t="inlineStr">
        <is>
          <t>Aquarelle portable fleurs de cerisier (4 — coloriage kawaii</t>
        </is>
      </c>
      <c r="Y48" t="inlineStr">
        <is>
          <t>Aquarelle portable fleurs de cerisier (4 : kawaii, girly et mignon. Livraison rapide, avis vérifiés. Commandez sur [Marque] !</t>
        </is>
      </c>
      <c r="Z48" s="117" t="inlineStr">
        <is>
          <t>&lt;div class="product-desc"&gt;
  &lt;p&gt;Coloriage kawaii fille &lt;strong&gt;« Aquarelle portable fleurs de cerisier (4 »&lt;/strong&gt; — kawaii, girly et mignon.&lt;/p&gt;
  &lt;p&gt;&lt;strong&gt;Occuper les enfants sans dégât ni écran, c'est possible ?&lt;/strong&gt;&lt;/p&gt;
  &lt;h3&gt;✅ Zéro tache, 100% amusement&lt;/h3&gt;
  &lt;p&gt;Des pages pensées pour les petites mains, faciles à colorier, sans stress pour les parents.&lt;/p&gt;
  &lt;h3&gt;✅ Développe créativité et concentration&lt;/h3&gt;
  &lt;p&gt;Une activité calme qui occupe les enfants intelligemment, à la maison comme en voyage.&lt;/p&gt;
  &lt;h3&gt;✅ Cadeau malin et abordable&lt;/h3&gt;
  &lt;p&gt;Parfait pour un anniversaire ou une occupation de vacances, à un prix doux.&lt;/p&gt;
  &lt;h3&gt;📦 Caractéristiques&lt;/h3&gt;
  &lt;ul&gt;
    &lt;li&gt;&lt;strong&gt;Type :&lt;/strong&gt; Livre / cahier de coloriage enfant&lt;/li&gt;
    &lt;li&gt;&lt;strong&gt;Âge conseillé :&lt;/strong&gt; Dès 3 ans (petites pièces : sous surveillance)&lt;/li&gt;
    &lt;li&gt;&lt;strong&gt;Contenu :&lt;/strong&gt; 1 livre de coloriage&lt;/li&gt;
    &lt;li&gt;&lt;strong&gt;Illustrations :&lt;/strong&gt; Génériques et mignonnes&lt;/li&gt;
    &lt;li&gt;&lt;strong&gt;Entretien :&lt;/strong&gt; —&lt;/li&gt;
  &lt;/ul&gt;
  &lt;h3&gt;❓ Questions fréquentes&lt;/h3&gt;
  &lt;details&gt;&lt;summary&gt;À partir de quel âge ?&lt;/summary&gt;&lt;p&gt;Conseillé dès 3 ans ; les tout-petits sous la surveillance d'un adulte (petites pièces).&lt;/p&gt;&lt;/details&gt;
  &lt;details&gt;&lt;summary&gt;C'est vraiment réutilisable ?&lt;/summary&gt;&lt;p&gt;Le livre se colorie une fois ; offrez-en plusieurs pour varier les plaisirs.&lt;/p&gt;&lt;/details&gt;
  &lt;details&gt;&lt;summary&gt;Le produit est-il sûr ?&lt;/summary&gt;&lt;p&gt;Vérifiez toujours la conformité CE/EN71 ; à utiliser sous surveillance pour les plus jeunes.&lt;/p&gt;&lt;/details&gt;
  &lt;p&gt;&lt;strong&gt;🛒 Faites plaisir à votre enfant — Livraison offerte dès 39€ d'achat.&lt;/strong&gt;&lt;/p&gt;
&lt;/div&gt;</t>
        </is>
      </c>
    </row>
    <row r="49">
      <c r="A49" s="57" t="inlineStr">
        <is>
          <t>chat-kawaii-1</t>
        </is>
      </c>
      <c r="B49" s="117" t="inlineStr">
        <is>
          <t>chat kawaii</t>
        </is>
      </c>
      <c r="C49" s="117" t="inlineStr">
        <is>
          <t>Porte-clés peluche chat noir kawaii</t>
        </is>
      </c>
      <c r="D49" s="117" t="inlineStr">
        <is>
          <t>https://fr.aliexpress.com/item/1005010706992197.html</t>
        </is>
      </c>
      <c r="E49" s="156" t="n">
        <v>5.19</v>
      </c>
      <c r="F49" s="156" t="n">
        <v>0</v>
      </c>
      <c r="G49" s="156">
        <f>IF(OR(E49="",F49=""),"",E49+F49)</f>
        <v/>
      </c>
      <c r="H49" s="156">
        <f>IFERROR(VLOOKUP(B49,'Collections'!$C$4:$L$18,10,FALSE),"")</f>
        <v/>
      </c>
      <c r="I49" s="162">
        <f>IFERROR(H49/G49,"")</f>
        <v/>
      </c>
      <c r="J49" s="163" t="n">
        <v>4.9</v>
      </c>
      <c r="K49" s="151" t="n">
        <v>10000</v>
      </c>
      <c r="L49" s="117" t="inlineStr">
        <is>
          <t>Choice — vendeur agrégé</t>
        </is>
      </c>
      <c r="M49" s="117" t="inlineStr">
        <is>
          <t>16-22 juil. (~6-12 j)</t>
        </is>
      </c>
      <c r="N49" s="117" t="inlineStr">
        <is>
          <t>Choice</t>
        </is>
      </c>
      <c r="O49" s="117" t="inlineStr">
        <is>
          <t>Couleur: Chaîne de perles</t>
        </is>
      </c>
      <c r="P49" s="117" t="inlineStr">
        <is>
          <t>Porte-clés peluche chat noir — sac / cartable kawaii</t>
        </is>
      </c>
      <c r="Q49" s="117" t="inlineStr">
        <is>
          <t>Produit chat kawaii générique, léger (OK licence). Vérifier qualité/finition et cohérence variante.</t>
        </is>
      </c>
      <c r="R49" s="117" t="inlineStr">
        <is>
          <t>Retenir</t>
        </is>
      </c>
      <c r="S49" s="164" t="n">
        <v>46213</v>
      </c>
      <c r="T49" s="59" t="inlineStr">
        <is>
          <t>AliExpress Choice ; livraison gratuite dès 10€ ; note agrégée</t>
        </is>
      </c>
      <c r="U49" s="117" t="inlineStr">
        <is>
          <t>PACKSHOT — Hero packshot of «Porte-clés peluche chat noir kawaii», a cute kawaii cat accessory, centered on clean pastel seamless background, soft shadow, ultra-sharp, soft pastel kawaii brand aesthetic, cohesive palette (blush pink, cream, mint, lilac), 1:1.
LIFESTYLE — «Porte-clés peluche chat noir kawaii» styled on a cozy desk / clipped on a pastel bag with kawaii props, soft light, lifestyle, soft pastel kawaii brand aesthetic, cohesive palette (blush pink, cream, mint, lilac), 1:1.
EN SITUATION — «Porte-clés peluche chat noir kawaii» in real use (on a bag / a cat interacting with it), cute cozy scene, shallow depth of field.
DÉTAIL — Macro of «Porte-clés peluche chat noir kawaii» texture, stitching and details, crisp, soft light.
FEATURE — Clean feature image of «Porte-clés peluche chat noir kawaii» with minimal callouts (soft, giftable), soft pastel kawaii brand aesthetic, cohesive palette (blush pink, cream, mint, lilac), negative space.</t>
        </is>
      </c>
      <c r="V49" t="inlineStr">
        <is>
          <t>.../outputs/coloriage-kawaii-arborescence-2026-07-09/images_produits/49_chat-kawaii_1005010706992197</t>
        </is>
      </c>
      <c r="W49" t="inlineStr">
        <is>
          <t>Chat kawaii Porte-clés peluche chat noir kawaii | [Marque]</t>
        </is>
      </c>
      <c r="X49" t="inlineStr">
        <is>
          <t>Porte-clés peluche chat noir kawaii — chat kawaii | [Marque</t>
        </is>
      </c>
      <c r="Y49" t="inlineStr">
        <is>
          <t>Porte-clés peluche chat noir kawaii : cadeau parfait cat-lover. Livraison rapide, avis vérifiés. Commandez sur [Marque] !</t>
        </is>
      </c>
      <c r="Z49" s="117" t="inlineStr">
        <is>
          <t>&lt;div class="product-desc"&gt;
  &lt;p&gt;Chat kawaii &lt;strong&gt;« Porte-clés peluche chat noir kawaii »&lt;/strong&gt; — cadeau parfait cat-lover.&lt;/p&gt;
  &lt;p&gt;&lt;strong&gt;Vous (ou un proche) êtes gaga des chats ?&lt;/strong&gt;&lt;/p&gt;
  &lt;h3&gt;✅ Le cadeau parfait pour les amoureux des chats&lt;/h3&gt;
  &lt;p&gt;Un accessoire mignon à offrir ou à s'offrir, qui met un sourire à chaque utilisation.&lt;/p&gt;
  &lt;h3&gt;✅ Mignon ET utile&lt;/h3&gt;
  &lt;p&gt;Design kawaii soigné, pensé pour accompagner votre quotidien (sac, bureau, maison).&lt;/p&gt;
  &lt;h3&gt;✅ Qualité soignée&lt;/h3&gt;
  &lt;p&gt;Finitions douces et matières agréables ; un petit objet qui fait son effet.&lt;/p&gt;
  &lt;h3&gt;📦 Caractéristiques&lt;/h3&gt;
  &lt;ul&gt;
    &lt;li&gt;&lt;strong&gt;Thème :&lt;/strong&gt; Chat kawaii&lt;/li&gt;
    &lt;li&gt;&lt;strong&gt;Matière :&lt;/strong&gt; Voir variante (peluche / métal / céramique)&lt;/li&gt;
    &lt;li&gt;&lt;strong&gt;Format :&lt;/strong&gt; Compact, léger&lt;/li&gt;
    &lt;li&gt;&lt;strong&gt;Idéal pour :&lt;/strong&gt; Cadeau, décoration, accessoire&lt;/li&gt;
  &lt;/ul&gt;
  &lt;h3&gt;❓ Questions fréquentes&lt;/h3&gt;
  &lt;details&gt;&lt;summary&gt;C'est un bon cadeau ?&lt;/summary&gt;&lt;p&gt;Oui, idéal pour tout amoureux des chats, petit budget et grand effet.&lt;/p&gt;&lt;/details&gt;
  &lt;details&gt;&lt;summary&gt;Les finitions sont-elles correctes ?&lt;/summary&gt;&lt;p&gt;Nous privilégions des articles bien notés ; vérifiez la variante choisie.&lt;/p&gt;&lt;/details&gt;
  &lt;details&gt;&lt;summary&gt;Livraison en France ?&lt;/summary&gt;&lt;p&gt;Oui, expédition vers la France (délais indiqués à la commande).&lt;/p&gt;&lt;/details&gt;
  &lt;p&gt;&lt;strong&gt;🛒 Craquez pour ce chat kawaii — Livraison offerte dès 39€ d'achat.&lt;/strong&gt;&lt;/p&gt;
&lt;/div&gt;</t>
        </is>
      </c>
    </row>
    <row r="50">
      <c r="A50" s="57" t="inlineStr">
        <is>
          <t>chat-kawaii-2</t>
        </is>
      </c>
      <c r="B50" s="117" t="inlineStr">
        <is>
          <t>chat kawaii</t>
        </is>
      </c>
      <c r="C50" s="117" t="inlineStr">
        <is>
          <t>Porte-clés duo chat cœur patchwork</t>
        </is>
      </c>
      <c r="D50" s="117" t="inlineStr">
        <is>
          <t>https://fr.aliexpress.com/item/1005010089249102.html</t>
        </is>
      </c>
      <c r="E50" s="156" t="n">
        <v>5.19</v>
      </c>
      <c r="F50" s="156" t="n">
        <v>0</v>
      </c>
      <c r="G50" s="156">
        <f>IF(OR(E50="",F50=""),"",E50+F50)</f>
        <v/>
      </c>
      <c r="H50" s="156">
        <f>IFERROR(VLOOKUP(B50,'Collections'!$C$4:$L$18,10,FALSE),"")</f>
        <v/>
      </c>
      <c r="I50" s="162">
        <f>IFERROR(H50/G50,"")</f>
        <v/>
      </c>
      <c r="J50" s="163" t="n">
        <v>4.9</v>
      </c>
      <c r="K50" s="151" t="n">
        <v>10000</v>
      </c>
      <c r="L50" s="117" t="inlineStr">
        <is>
          <t>Choice — vendeur agrégé</t>
        </is>
      </c>
      <c r="M50" s="117" t="inlineStr">
        <is>
          <t>16-20 juil. (~6-10 j)</t>
        </is>
      </c>
      <c r="N50" s="117" t="inlineStr">
        <is>
          <t>Choice</t>
        </is>
      </c>
      <c r="O50" s="117" t="inlineStr">
        <is>
          <t>Couleur: a pair (paire)</t>
        </is>
      </c>
      <c r="P50" s="117" t="inlineStr">
        <is>
          <t>Porte-clés duo chat cœur — cadeau cat-lovers</t>
        </is>
      </c>
      <c r="Q50" s="117" t="inlineStr">
        <is>
          <t>Produit chat kawaii générique, léger (OK licence). Vérifier qualité/finition et cohérence variante.</t>
        </is>
      </c>
      <c r="R50" s="117" t="inlineStr">
        <is>
          <t>Retenir</t>
        </is>
      </c>
      <c r="S50" s="164" t="n">
        <v>46213</v>
      </c>
      <c r="T50" s="59" t="inlineStr">
        <is>
          <t>AliExpress Choice ; livraison gratuite dès 10€ ; note agrégée</t>
        </is>
      </c>
      <c r="U50" s="117" t="inlineStr">
        <is>
          <t>PACKSHOT — Hero packshot of «Porte-clés duo chat cœur patchwork», a cute kawaii cat accessory, centered on clean pastel seamless background, soft shadow, ultra-sharp, soft pastel kawaii brand aesthetic, cohesive palette (blush pink, cream, mint, lilac), 1:1.
LIFESTYLE — «Porte-clés duo chat cœur patchwork» styled on a cozy desk / clipped on a pastel bag with kawaii props, soft light, lifestyle, soft pastel kawaii brand aesthetic, cohesive palette (blush pink, cream, mint, lilac), 1:1.
EN SITUATION — «Porte-clés duo chat cœur patchwork» in real use (on a bag / a cat interacting with it), cute cozy scene, shallow depth of field.
DÉTAIL — Macro of «Porte-clés duo chat cœur patchwork» texture, stitching and details, crisp, soft light.
FEATURE — Clean feature image of «Porte-clés duo chat cœur patchwork» with minimal callouts (soft, giftable), soft pastel kawaii brand aesthetic, cohesive palette (blush pink, cream, mint, lilac), negative space.</t>
        </is>
      </c>
      <c r="V50" t="inlineStr">
        <is>
          <t>.../outputs/coloriage-kawaii-arborescence-2026-07-09/images_produits/50_chat-kawaii_1005010089249102</t>
        </is>
      </c>
      <c r="W50" t="inlineStr">
        <is>
          <t>Chat kawaii Porte-clés duo chat cœur patchwork | [Marque]</t>
        </is>
      </c>
      <c r="X50" t="inlineStr">
        <is>
          <t>Porte-clés duo chat cœur patchwork — chat kawaii | [Marque]</t>
        </is>
      </c>
      <c r="Y50" t="inlineStr">
        <is>
          <t>Porte-clés duo chat cœur patchwork : cadeau parfait cat-lover. Livraison rapide, avis vérifiés. Commandez sur [Marque] !</t>
        </is>
      </c>
      <c r="Z50" s="117" t="inlineStr">
        <is>
          <t>&lt;div class="product-desc"&gt;
  &lt;p&gt;Chat kawaii &lt;strong&gt;« Porte-clés duo chat cœur patchwork »&lt;/strong&gt; — cadeau parfait cat-lover.&lt;/p&gt;
  &lt;p&gt;&lt;strong&gt;Le petit cadeau qui fait fondre les amoureux des chats ?&lt;/strong&gt;&lt;/p&gt;
  &lt;h3&gt;✅ Le cadeau parfait pour les amoureux des chats&lt;/h3&gt;
  &lt;p&gt;Un accessoire mignon à offrir ou à s'offrir, qui met un sourire à chaque utilisation.&lt;/p&gt;
  &lt;h3&gt;✅ Mignon ET utile&lt;/h3&gt;
  &lt;p&gt;Design kawaii soigné, pensé pour accompagner votre quotidien (sac, bureau, maison).&lt;/p&gt;
  &lt;h3&gt;✅ Qualité soignée&lt;/h3&gt;
  &lt;p&gt;Finitions douces et matières agréables ; un petit objet qui fait son effet.&lt;/p&gt;
  &lt;h3&gt;📦 Caractéristiques&lt;/h3&gt;
  &lt;ul&gt;
    &lt;li&gt;&lt;strong&gt;Thème :&lt;/strong&gt; Chat kawaii&lt;/li&gt;
    &lt;li&gt;&lt;strong&gt;Matière :&lt;/strong&gt; Voir variante (peluche / métal / céramique)&lt;/li&gt;
    &lt;li&gt;&lt;strong&gt;Format :&lt;/strong&gt; Compact, léger&lt;/li&gt;
    &lt;li&gt;&lt;strong&gt;Idéal pour :&lt;/strong&gt; Cadeau, décoration, accessoire&lt;/li&gt;
  &lt;/ul&gt;
  &lt;h3&gt;❓ Questions fréquentes&lt;/h3&gt;
  &lt;details&gt;&lt;summary&gt;C'est un bon cadeau ?&lt;/summary&gt;&lt;p&gt;Oui, idéal pour tout amoureux des chats, petit budget et grand effet.&lt;/p&gt;&lt;/details&gt;
  &lt;details&gt;&lt;summary&gt;Les finitions sont-elles correctes ?&lt;/summary&gt;&lt;p&gt;Nous privilégions des articles bien notés ; vérifiez la variante choisie.&lt;/p&gt;&lt;/details&gt;
  &lt;details&gt;&lt;summary&gt;Livraison en France ?&lt;/summary&gt;&lt;p&gt;Oui, expédition vers la France (délais indiqués à la commande).&lt;/p&gt;&lt;/details&gt;
  &lt;p&gt;&lt;strong&gt;🛒 Craquez pour ce chat kawaii — Livraison offerte dès 39€ d'achat.&lt;/strong&gt;&lt;/p&gt;
&lt;/div&gt;</t>
        </is>
      </c>
    </row>
    <row r="51">
      <c r="A51" s="57" t="inlineStr">
        <is>
          <t>chat-kawaii-3</t>
        </is>
      </c>
      <c r="B51" s="117" t="inlineStr">
        <is>
          <t>chat kawaii</t>
        </is>
      </c>
      <c r="C51" s="117" t="inlineStr">
        <is>
          <t>Porte-clés fidget touches chat (anti-stress)</t>
        </is>
      </c>
      <c r="D51" s="117" t="inlineStr">
        <is>
          <t>https://fr.aliexpress.com/item/1005010653366549.html</t>
        </is>
      </c>
      <c r="E51" s="156" t="n">
        <v>7.19</v>
      </c>
      <c r="F51" s="156" t="n">
        <v>0</v>
      </c>
      <c r="G51" s="156">
        <f>IF(OR(E51="",F51=""),"",E51+F51)</f>
        <v/>
      </c>
      <c r="H51" s="156">
        <f>IFERROR(VLOOKUP(B51,'Collections'!$C$4:$L$18,10,FALSE),"")</f>
        <v/>
      </c>
      <c r="I51" s="162">
        <f>IFERROR(H51/G51,"")</f>
        <v/>
      </c>
      <c r="J51" s="163" t="n">
        <v>4.9</v>
      </c>
      <c r="K51" s="151" t="n">
        <v>10000</v>
      </c>
      <c r="L51" s="117" t="inlineStr">
        <is>
          <t>Choice — vendeur agrégé</t>
        </is>
      </c>
      <c r="M51" s="117" t="inlineStr">
        <is>
          <t>16-22 juil. (~6-12 j)</t>
        </is>
      </c>
      <c r="N51" s="117" t="inlineStr">
        <is>
          <t>Choice</t>
        </is>
      </c>
      <c r="O51" s="117" t="inlineStr">
        <is>
          <t>Couleur: 1PC D</t>
        </is>
      </c>
      <c r="P51" s="117" t="inlineStr">
        <is>
          <t>Porte-clés fidget touches chat — anti-stress kawaii</t>
        </is>
      </c>
      <c r="Q51" s="117" t="inlineStr">
        <is>
          <t>Produit chat kawaii générique, léger (OK licence). Vérifier qualité/finition et cohérence variante.</t>
        </is>
      </c>
      <c r="R51" s="117" t="inlineStr">
        <is>
          <t>Retenir</t>
        </is>
      </c>
      <c r="S51" s="164" t="n">
        <v>46213</v>
      </c>
      <c r="T51" s="59" t="inlineStr">
        <is>
          <t>AliExpress Choice ; livraison gratuite dès 10€ ; note agrégée</t>
        </is>
      </c>
      <c r="U51" s="117" t="inlineStr">
        <is>
          <t>PACKSHOT — Hero packshot of «Porte-clés fidget touches chat (anti-stress)», a cute kawaii cat accessory, centered on clean pastel seamless background, soft shadow, ultra-sharp, soft pastel kawaii brand aesthetic, cohesive palette (blush pink, cream, mint, lilac), 1:1.
LIFESTYLE — «Porte-clés fidget touches chat (anti-stress)» styled on a cozy desk / clipped on a pastel bag with kawaii props, soft light, lifestyle, soft pastel kawaii brand aesthetic, cohesive palette (blush pink, cream, mint, lilac), 1:1.
EN SITUATION — «Porte-clés fidget touches chat (anti-stress)» in real use (on a bag / a cat interacting with it), cute cozy scene, shallow depth of field.
DÉTAIL — Macro of «Porte-clés fidget touches chat (anti-stress)» texture, stitching and details, crisp, soft light.
FEATURE — Clean feature image of «Porte-clés fidget touches chat (anti-stress)» with minimal callouts (soft, giftable), soft pastel kawaii brand aesthetic, cohesive palette (blush pink, cream, mint, lilac), negative space.</t>
        </is>
      </c>
      <c r="V51" t="inlineStr">
        <is>
          <t>.../outputs/coloriage-kawaii-arborescence-2026-07-09/images_produits/51_chat-kawaii_1005010653366549</t>
        </is>
      </c>
      <c r="W51" t="inlineStr">
        <is>
          <t>Chat kawaii Porte-clés fidget touches chat (anti-str | [Marque]</t>
        </is>
      </c>
      <c r="X51" t="inlineStr">
        <is>
          <t>Porte-clés fidget touches chat (anti-str — chat kawaii | [M</t>
        </is>
      </c>
      <c r="Y51" t="inlineStr">
        <is>
          <t>Porte-clés fidget touches chat (anti-str : cadeau parfait cat-lover. Livraison rapide, avis vérifiés. Commandez sur [Marque] !</t>
        </is>
      </c>
      <c r="Z51" s="117" t="inlineStr">
        <is>
          <t>&lt;div class="product-desc"&gt;
  &lt;p&gt;Chat kawaii &lt;strong&gt;« Porte-clés fidget touches chat (anti-str »&lt;/strong&gt; — cadeau parfait cat-lover.&lt;/p&gt;
  &lt;p&gt;&lt;strong&gt;Envie d'une touche kawaii au quotidien ?&lt;/strong&gt;&lt;/p&gt;
  &lt;h3&gt;✅ Le cadeau parfait pour les amoureux des chats&lt;/h3&gt;
  &lt;p&gt;Un accessoire mignon à offrir ou à s'offrir, qui met un sourire à chaque utilisation.&lt;/p&gt;
  &lt;h3&gt;✅ Mignon ET utile&lt;/h3&gt;
  &lt;p&gt;Design kawaii soigné, pensé pour accompagner votre quotidien (sac, bureau, maison).&lt;/p&gt;
  &lt;h3&gt;✅ Qualité soignée&lt;/h3&gt;
  &lt;p&gt;Finitions douces et matières agréables ; un petit objet qui fait son effet.&lt;/p&gt;
  &lt;h3&gt;📦 Caractéristiques&lt;/h3&gt;
  &lt;ul&gt;
    &lt;li&gt;&lt;strong&gt;Thème :&lt;/strong&gt; Chat kawaii&lt;/li&gt;
    &lt;li&gt;&lt;strong&gt;Matière :&lt;/strong&gt; Voir variante (peluche / métal / céramique)&lt;/li&gt;
    &lt;li&gt;&lt;strong&gt;Format :&lt;/strong&gt; Compact, léger&lt;/li&gt;
    &lt;li&gt;&lt;strong&gt;Idéal pour :&lt;/strong&gt; Cadeau, décoration, accessoire&lt;/li&gt;
  &lt;/ul&gt;
  &lt;h3&gt;❓ Questions fréquentes&lt;/h3&gt;
  &lt;details&gt;&lt;summary&gt;C'est un bon cadeau ?&lt;/summary&gt;&lt;p&gt;Oui, idéal pour tout amoureux des chats, petit budget et grand effet.&lt;/p&gt;&lt;/details&gt;
  &lt;details&gt;&lt;summary&gt;Les finitions sont-elles correctes ?&lt;/summary&gt;&lt;p&gt;Nous privilégions des articles bien notés ; vérifiez la variante choisie.&lt;/p&gt;&lt;/details&gt;
  &lt;details&gt;&lt;summary&gt;Livraison en France ?&lt;/summary&gt;&lt;p&gt;Oui, expédition vers la France (délais indiqués à la commande).&lt;/p&gt;&lt;/details&gt;
  &lt;p&gt;&lt;strong&gt;🛒 Craquez pour ce chat kawaii — Livraison offerte dès 39€ d'achat.&lt;/strong&gt;&lt;/p&gt;
&lt;/div&gt;</t>
        </is>
      </c>
    </row>
    <row r="52">
      <c r="A52" s="57" t="inlineStr">
        <is>
          <t>chat-kawaii-4</t>
        </is>
      </c>
      <c r="B52" s="117" t="inlineStr">
        <is>
          <t>chat kawaii</t>
        </is>
      </c>
      <c r="C52" s="117" t="inlineStr">
        <is>
          <t>Bol surélevé chat (anti-moustache)</t>
        </is>
      </c>
      <c r="D52" s="117" t="inlineStr">
        <is>
          <t>https://fr.aliexpress.com/item/1005008660121856.html</t>
        </is>
      </c>
      <c r="E52" s="156" t="n">
        <v>6.99</v>
      </c>
      <c r="F52" s="156" t="n">
        <v>0</v>
      </c>
      <c r="G52" s="156">
        <f>IF(OR(E52="",F52=""),"",E52+F52)</f>
        <v/>
      </c>
      <c r="H52" s="156">
        <f>IFERROR(VLOOKUP(B52,'Collections'!$C$4:$L$18,10,FALSE),"")</f>
        <v/>
      </c>
      <c r="I52" s="162">
        <f>IFERROR(H52/G52,"")</f>
        <v/>
      </c>
      <c r="J52" s="163" t="n">
        <v>4.9</v>
      </c>
      <c r="K52" s="151" t="n">
        <v>10000</v>
      </c>
      <c r="L52" s="117" t="inlineStr">
        <is>
          <t>Choice — vendeur agrégé</t>
        </is>
      </c>
      <c r="M52" s="117" t="inlineStr">
        <is>
          <t>16-20 juil. (~6-10 j)</t>
        </is>
      </c>
      <c r="N52" s="117" t="inlineStr">
        <is>
          <t>Choice</t>
        </is>
      </c>
      <c r="O52" s="117" t="inlineStr">
        <is>
          <t>Couleur: Black</t>
        </is>
      </c>
      <c r="P52" s="117" t="inlineStr">
        <is>
          <t>Bol surélevé ergonomique — confort du chat</t>
        </is>
      </c>
      <c r="Q52" s="117" t="inlineStr">
        <is>
          <t>Produit chat kawaii générique, léger (OK licence). Vérifier qualité/finition et cohérence variante. Accessoire animalerie (pas de norme jouet).</t>
        </is>
      </c>
      <c r="R52" s="117" t="inlineStr">
        <is>
          <t>Retenir</t>
        </is>
      </c>
      <c r="S52" s="164" t="n">
        <v>46213</v>
      </c>
      <c r="T52" s="59" t="inlineStr">
        <is>
          <t>AliExpress Choice ; livraison gratuite dès 10€ ; note agrégée</t>
        </is>
      </c>
      <c r="U52" s="117" t="inlineStr">
        <is>
          <t>PACKSHOT — Hero packshot of «Bol surélevé chat (anti-moustache)», a cute kawaii cat accessory, centered on clean pastel seamless background, soft shadow, ultra-sharp, soft pastel kawaii brand aesthetic, cohesive palette (blush pink, cream, mint, lilac), 1:1.
LIFESTYLE — «Bol surélevé chat (anti-moustache)» styled on a cozy desk / clipped on a pastel bag with kawaii props, soft light, lifestyle, soft pastel kawaii brand aesthetic, cohesive palette (blush pink, cream, mint, lilac), 1:1.
EN SITUATION — «Bol surélevé chat (anti-moustache)» in real use (on a bag / a cat interacting with it), cute cozy scene, shallow depth of field.
DÉTAIL — Macro of «Bol surélevé chat (anti-moustache)» texture, stitching and details, crisp, soft light.
FEATURE — Clean feature image of «Bol surélevé chat (anti-moustache)» with minimal callouts (soft, giftable), soft pastel kawaii brand aesthetic, cohesive palette (blush pink, cream, mint, lilac), negative space.</t>
        </is>
      </c>
      <c r="V52" t="inlineStr">
        <is>
          <t>.../outputs/coloriage-kawaii-arborescence-2026-07-09/images_produits/52_chat-kawaii_1005008660121856</t>
        </is>
      </c>
      <c r="W52" t="inlineStr">
        <is>
          <t>Chat kawaii Bol surélevé chat (anti-moustache) | [Marque]</t>
        </is>
      </c>
      <c r="X52" t="inlineStr">
        <is>
          <t>Bol surélevé chat (anti-moustache) — chat kawaii | [Marque]</t>
        </is>
      </c>
      <c r="Y52" t="inlineStr">
        <is>
          <t>Bol surélevé chat (anti-moustache) : cadeau parfait cat-lover. Livraison rapide, avis vérifiés. Commandez sur [Marque] !</t>
        </is>
      </c>
      <c r="Z52" s="117" t="inlineStr">
        <is>
          <t>&lt;div class="product-desc"&gt;
  &lt;p&gt;Chat kawaii &lt;strong&gt;« Bol surélevé chat (anti-moustache) »&lt;/strong&gt; — cadeau parfait cat-lover.&lt;/p&gt;
  &lt;p&gt;&lt;strong&gt;Vous (ou un proche) êtes gaga des chats ?&lt;/strong&gt;&lt;/p&gt;
  &lt;h3&gt;✅ Le cadeau parfait pour les amoureux des chats&lt;/h3&gt;
  &lt;p&gt;Un accessoire mignon à offrir ou à s'offrir, qui met un sourire à chaque utilisation.&lt;/p&gt;
  &lt;h3&gt;✅ Mignon ET utile&lt;/h3&gt;
  &lt;p&gt;Design kawaii soigné, pensé pour accompagner votre quotidien (sac, bureau, maison).&lt;/p&gt;
  &lt;h3&gt;✅ Qualité soignée&lt;/h3&gt;
  &lt;p&gt;Finitions douces et matières agréables ; un petit objet qui fait son effet.&lt;/p&gt;
  &lt;h3&gt;📦 Caractéristiques&lt;/h3&gt;
  &lt;ul&gt;
    &lt;li&gt;&lt;strong&gt;Thème :&lt;/strong&gt; Chat kawaii&lt;/li&gt;
    &lt;li&gt;&lt;strong&gt;Matière :&lt;/strong&gt; Voir variante (peluche / métal / céramique)&lt;/li&gt;
    &lt;li&gt;&lt;strong&gt;Format :&lt;/strong&gt; Compact, léger&lt;/li&gt;
    &lt;li&gt;&lt;strong&gt;Idéal pour :&lt;/strong&gt; Cadeau, décoration, accessoire&lt;/li&gt;
  &lt;/ul&gt;
  &lt;h3&gt;❓ Questions fréquentes&lt;/h3&gt;
  &lt;details&gt;&lt;summary&gt;C'est un bon cadeau ?&lt;/summary&gt;&lt;p&gt;Oui, idéal pour tout amoureux des chats, petit budget et grand effet.&lt;/p&gt;&lt;/details&gt;
  &lt;details&gt;&lt;summary&gt;Les finitions sont-elles correctes ?&lt;/summary&gt;&lt;p&gt;Nous privilégions des articles bien notés ; vérifiez la variante choisie.&lt;/p&gt;&lt;/details&gt;
  &lt;details&gt;&lt;summary&gt;Livraison en France ?&lt;/summary&gt;&lt;p&gt;Oui, expédition vers la France (délais indiqués à la commande).&lt;/p&gt;&lt;/details&gt;
  &lt;p&gt;&lt;strong&gt;🛒 Craquez pour ce chat kawaii — Livraison offerte dès 39€ d'achat.&lt;/strong&gt;&lt;/p&gt;
&lt;/div&gt;</t>
        </is>
      </c>
    </row>
    <row r="53">
      <c r="A53" s="57" t="inlineStr">
        <is>
          <t>chat-kawaii-5</t>
        </is>
      </c>
      <c r="B53" s="117" t="inlineStr">
        <is>
          <t>chat kawaii</t>
        </is>
      </c>
      <c r="C53" s="117" t="inlineStr">
        <is>
          <t>Tapis/coussin chat kawaii (flanelle)</t>
        </is>
      </c>
      <c r="D53" s="117" t="inlineStr">
        <is>
          <t>https://fr.aliexpress.com/item/1005008248118454.html</t>
        </is>
      </c>
      <c r="E53" s="156" t="n">
        <v>7.49</v>
      </c>
      <c r="F53" s="156" t="n">
        <v>0</v>
      </c>
      <c r="G53" s="156">
        <f>IF(OR(E53="",F53=""),"",E53+F53)</f>
        <v/>
      </c>
      <c r="H53" s="156">
        <f>IFERROR(VLOOKUP(B53,'Collections'!$C$4:$L$18,10,FALSE),"")</f>
        <v/>
      </c>
      <c r="I53" s="162">
        <f>IFERROR(H53/G53,"")</f>
        <v/>
      </c>
      <c r="J53" s="163" t="n">
        <v>4.9</v>
      </c>
      <c r="K53" s="151" t="n">
        <v>10000</v>
      </c>
      <c r="L53" s="117" t="inlineStr">
        <is>
          <t>Choice — vendeur agrégé</t>
        </is>
      </c>
      <c r="M53" s="117" t="inlineStr">
        <is>
          <t>16-20 juil. (~6-10 j)</t>
        </is>
      </c>
      <c r="N53" s="117" t="inlineStr">
        <is>
          <t>Choice</t>
        </is>
      </c>
      <c r="O53" s="117" t="inlineStr">
        <is>
          <t>Couleur: Tête de chat bleu marine</t>
        </is>
      </c>
      <c r="P53" s="117" t="inlineStr">
        <is>
          <t>Coussin chat kawaii douillet — hiver</t>
        </is>
      </c>
      <c r="Q53" s="117" t="inlineStr">
        <is>
          <t>Produit chat kawaii générique, léger (OK licence). Vérifier qualité/finition et cohérence variante. Accessoire animalerie (pas de norme jouet).</t>
        </is>
      </c>
      <c r="R53" s="117" t="inlineStr">
        <is>
          <t>Retenir</t>
        </is>
      </c>
      <c r="S53" s="164" t="n">
        <v>46213</v>
      </c>
      <c r="T53" s="59" t="inlineStr">
        <is>
          <t>AliExpress Choice ; livraison gratuite dès 10€ ; note agrégée</t>
        </is>
      </c>
      <c r="U53" s="117" t="inlineStr">
        <is>
          <t>PACKSHOT — Hero packshot of «Tapis/coussin chat kawaii (flanelle)», a cute kawaii cat accessory, centered on clean pastel seamless background, soft shadow, ultra-sharp, soft pastel kawaii brand aesthetic, cohesive palette (blush pink, cream, mint, lilac), 1:1.
LIFESTYLE — «Tapis/coussin chat kawaii (flanelle)» styled on a cozy desk / clipped on a pastel bag with kawaii props, soft light, lifestyle, soft pastel kawaii brand aesthetic, cohesive palette (blush pink, cream, mint, lilac), 1:1.
EN SITUATION — «Tapis/coussin chat kawaii (flanelle)» in real use (on a bag / a cat interacting with it), cute cozy scene, shallow depth of field.
DÉTAIL — Macro of «Tapis/coussin chat kawaii (flanelle)» texture, stitching and details, crisp, soft light.
FEATURE — Clean feature image of «Tapis/coussin chat kawaii (flanelle)» with minimal callouts (soft, giftable), soft pastel kawaii brand aesthetic, cohesive palette (blush pink, cream, mint, lilac), negative space.</t>
        </is>
      </c>
      <c r="V53" t="inlineStr">
        <is>
          <t>.../outputs/coloriage-kawaii-arborescence-2026-07-09/images_produits/53_chat-kawaii_1005008248118454</t>
        </is>
      </c>
      <c r="W53" t="inlineStr">
        <is>
          <t>Chat kawaii Tapis/coussin chat kawaii (flanelle) | [Marque]</t>
        </is>
      </c>
      <c r="X53" t="inlineStr">
        <is>
          <t>Tapis/coussin chat kawaii (flanelle) — chat kawaii | [Marqu</t>
        </is>
      </c>
      <c r="Y53" t="inlineStr">
        <is>
          <t>Tapis/coussin chat kawaii (flanelle) : cadeau parfait cat-lover. Livraison rapide, avis vérifiés. Commandez sur [Marque] !</t>
        </is>
      </c>
      <c r="Z53" s="117" t="inlineStr">
        <is>
          <t>&lt;div class="product-desc"&gt;
  &lt;p&gt;Chat kawaii &lt;strong&gt;« Tapis/coussin chat kawaii (flanelle) »&lt;/strong&gt; — cadeau parfait cat-lover.&lt;/p&gt;
  &lt;p&gt;&lt;strong&gt;Le petit cadeau qui fait fondre les amoureux des chats ?&lt;/strong&gt;&lt;/p&gt;
  &lt;h3&gt;✅ Le cadeau parfait pour les amoureux des chats&lt;/h3&gt;
  &lt;p&gt;Un accessoire mignon à offrir ou à s'offrir, qui met un sourire à chaque utilisation.&lt;/p&gt;
  &lt;h3&gt;✅ Mignon ET utile&lt;/h3&gt;
  &lt;p&gt;Design kawaii soigné, pensé pour accompagner votre quotidien (sac, bureau, maison).&lt;/p&gt;
  &lt;h3&gt;✅ Qualité soignée&lt;/h3&gt;
  &lt;p&gt;Finitions douces et matières agréables ; un petit objet qui fait son effet.&lt;/p&gt;
  &lt;h3&gt;📦 Caractéristiques&lt;/h3&gt;
  &lt;ul&gt;
    &lt;li&gt;&lt;strong&gt;Thème :&lt;/strong&gt; Chat kawaii&lt;/li&gt;
    &lt;li&gt;&lt;strong&gt;Matière :&lt;/strong&gt; Voir variante (peluche / métal / céramique)&lt;/li&gt;
    &lt;li&gt;&lt;strong&gt;Format :&lt;/strong&gt; Compact, léger&lt;/li&gt;
    &lt;li&gt;&lt;strong&gt;Idéal pour :&lt;/strong&gt; Cadeau, décoration, accessoire&lt;/li&gt;
  &lt;/ul&gt;
  &lt;h3&gt;❓ Questions fréquentes&lt;/h3&gt;
  &lt;details&gt;&lt;summary&gt;C'est un bon cadeau ?&lt;/summary&gt;&lt;p&gt;Oui, idéal pour tout amoureux des chats, petit budget et grand effet.&lt;/p&gt;&lt;/details&gt;
  &lt;details&gt;&lt;summary&gt;Les finitions sont-elles correctes ?&lt;/summary&gt;&lt;p&gt;Nous privilégions des articles bien notés ; vérifiez la variante choisie.&lt;/p&gt;&lt;/details&gt;
  &lt;details&gt;&lt;summary&gt;Livraison en France ?&lt;/summary&gt;&lt;p&gt;Oui, expédition vers la France (délais indiqués à la commande).&lt;/p&gt;&lt;/details&gt;
  &lt;p&gt;&lt;strong&gt;🛒 Craquez pour ce chat kawaii — Livraison offerte dès 39€ d'achat.&lt;/strong&gt;&lt;/p&gt;
&lt;/div&gt;</t>
        </is>
      </c>
    </row>
    <row r="54">
      <c r="A54" s="57" t="inlineStr">
        <is>
          <t>feutre-acrylique-1</t>
        </is>
      </c>
      <c r="B54" s="117" t="inlineStr">
        <is>
          <t>feutre acrylique</t>
        </is>
      </c>
      <c r="C54" s="117" t="inlineStr">
        <is>
          <t>Feutres acryliques 12 couleurs (multi-supports)</t>
        </is>
      </c>
      <c r="D54" s="117" t="inlineStr">
        <is>
          <t>https://fr.aliexpress.com/item/1005007805480861.html</t>
        </is>
      </c>
      <c r="E54" s="156" t="n">
        <v>7.09</v>
      </c>
      <c r="F54" s="156" t="n">
        <v>0</v>
      </c>
      <c r="G54" s="156">
        <f>IF(OR(E54="",F54=""),"",E54+F54)</f>
        <v/>
      </c>
      <c r="H54" s="156">
        <f>IFERROR(VLOOKUP(B54,'Collections'!$C$4:$L$18,10,FALSE),"")</f>
        <v/>
      </c>
      <c r="I54" s="162">
        <f>IFERROR(H54/G54,"")</f>
        <v/>
      </c>
      <c r="J54" s="163" t="n">
        <v>4.9</v>
      </c>
      <c r="K54" s="151" t="n">
        <v>10000</v>
      </c>
      <c r="L54" s="117" t="inlineStr">
        <is>
          <t>Vendeur AliExpress (non Choice)</t>
        </is>
      </c>
      <c r="M54" s="117" t="inlineStr">
        <is>
          <t>16-20 juil. (~6-10 j)</t>
        </is>
      </c>
      <c r="N54" s="117" t="inlineStr">
        <is>
          <t>Non</t>
        </is>
      </c>
      <c r="O54" s="117" t="inlineStr">
        <is>
          <t>Couleur: 12 Colors</t>
        </is>
      </c>
      <c r="P54" s="117" t="inlineStr">
        <is>
          <t>Feutres acryliques 12 c. — roche/verre/bois</t>
        </is>
      </c>
      <c r="Q54" s="117" t="inlineStr">
        <is>
          <t>FEUTRE/MARQUEUR ACRYLIQUE : signaler GPSR + REACH (encre) + étiquetage CLP UE ; exiger FDS + déclaration conformité fournisseur (souvent absents sur AliExpress). Vérifier la variante (nb couleurs) vendue.</t>
        </is>
      </c>
      <c r="R54" s="117" t="inlineStr">
        <is>
          <t>Test</t>
        </is>
      </c>
      <c r="S54" s="164" t="n">
        <v>46213</v>
      </c>
      <c r="T54" s="59" t="inlineStr">
        <is>
          <t>AliExpress Choice ; livraison gratuite dès 10€ ; prix selon nb de couleurs ; note agrégée ; NON Choice</t>
        </is>
      </c>
      <c r="U54" s="117" t="inlineStr">
        <is>
          <t>PACKSHOT — Hero packshot of the art marker set «Feutres acryliques 12 couleurs (multi-supports)», markers neatly fanned out, clean pastel background, studio light, ultra-sharp, soft pastel kawaii brand aesthetic, cohesive palette (blush pink, cream, mint, lilac), 1:1.
LIFESTYLE — Top-down flat-lay of «Feutres acryliques 12 couleurs (multi-supports)» beside a colorful hand-drawn artwork on a cozy creative desk, soft light, soft pastel kawaii brand aesthetic, cohesive palette (blush pink, cream, mint, lilac), 1:1.
EN SITUATION — Close-up of a hand using «Feutres acryliques 12 couleurs (multi-supports)» to color, vibrant smooth strokes, shallow depth of field.
DÉTAIL — Macro of the marker tips and a grid of color swatches on paper, crisp and colorful.
FEATURE — Clean feature image of «Feutres acryliques 12 couleurs (multi-supports)» with callouts (number of colors, dual tip, blendable), soft pastel kawaii brand aesthetic, cohesive palette (blush pink, cream, mint, lilac), negative space.</t>
        </is>
      </c>
      <c r="V54" t="inlineStr">
        <is>
          <t>.../outputs/coloriage-kawaii-arborescence-2026-07-09/images_produits/54_feutre-acrylique_1005007805480861</t>
        </is>
      </c>
      <c r="W54" t="inlineStr">
        <is>
          <t>Feutres acryliques Feutres acryliques 12 couleurs (multi-su | [Marque</t>
        </is>
      </c>
      <c r="X54" t="inlineStr">
        <is>
          <t>Feutres acryliques 12 couleurs (multi-su — feutres acryliqu</t>
        </is>
      </c>
      <c r="Y54" t="inlineStr">
        <is>
          <t>Feutres acryliques 12 couleurs (multi-su : couleurs couvrantes multi-supports. Livraison rapide, avis vérifiés. Commandez sur [Marque] !</t>
        </is>
      </c>
      <c r="Z54" s="117" t="inlineStr">
        <is>
          <t>&lt;div class="product-desc"&gt;
  &lt;p&gt;Feutres acryliques &lt;strong&gt;« Feutres acryliques 12 couleurs (multi-su »&lt;/strong&gt; — couleurs couvrantes multi-supports.&lt;/p&gt;
  &lt;p&gt;&lt;strong&gt;Envie de passer au niveau supérieur en dessin ?&lt;/strong&gt;&lt;/p&gt;
  &lt;h3&gt;✅ Des couleurs riches et couvrantes&lt;/h3&gt;
  &lt;p&gt;Peinture acrylique opaque : couvre tout support (papier, roche, verre, bois, tissu).&lt;/p&gt;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Feutres/marqueurs acryliques&lt;/li&gt;
    &lt;li&gt;&lt;strong&gt;Nombre de couleurs :&lt;/strong&gt; Selon variante (voir sélection)&lt;/li&gt;
    &lt;li&gt;&lt;strong&gt;Supports :&lt;/strong&gt; Papier, roche, verre, bois, céramique&lt;/li&gt;
    &lt;li&gt;&lt;strong&gt;Contenu :&lt;/strong&gt; 1 set de feutres&lt;/li&gt;
  &lt;/ul&gt;
  &lt;h3&gt;❓ Questions fréquentes&lt;/h3&gt;
  &lt;details&gt;&lt;summary&gt;Ça traverse le papier ?&lt;/summary&gt;&lt;p&gt;L'acrylique couvre bien ; sur papier fin, glissez une protection dessous.&lt;/p&gt;&lt;/details&gt;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55">
      <c r="A55" s="57" t="inlineStr">
        <is>
          <t>feutre-acrylique-2</t>
        </is>
      </c>
      <c r="B55" s="117" t="inlineStr">
        <is>
          <t>feutre acrylique</t>
        </is>
      </c>
      <c r="C55" s="117" t="inlineStr">
        <is>
          <t>Marqueurs brosse acryliques (teintes chair)</t>
        </is>
      </c>
      <c r="D55" s="117" t="inlineStr">
        <is>
          <t>https://fr.aliexpress.com/item/1005008854307879.html</t>
        </is>
      </c>
      <c r="E55" s="156" t="n">
        <v>8.789999999999999</v>
      </c>
      <c r="F55" s="156" t="n">
        <v>0</v>
      </c>
      <c r="G55" s="156">
        <f>IF(OR(E55="",F55=""),"",E55+F55)</f>
        <v/>
      </c>
      <c r="H55" s="156">
        <f>IFERROR(VLOOKUP(B55,'Collections'!$C$4:$L$18,10,FALSE),"")</f>
        <v/>
      </c>
      <c r="I55" s="162">
        <f>IFERROR(H55/G55,"")</f>
        <v/>
      </c>
      <c r="J55" s="163" t="n">
        <v>4.9</v>
      </c>
      <c r="K55" s="151" t="n">
        <v>10000</v>
      </c>
      <c r="L55" s="117" t="inlineStr">
        <is>
          <t>Choice — vendeur agrégé</t>
        </is>
      </c>
      <c r="M55" s="117" t="inlineStr">
        <is>
          <t>16-20 juil. (~6-10 j)</t>
        </is>
      </c>
      <c r="N55" s="117" t="inlineStr">
        <is>
          <t>Choice</t>
        </is>
      </c>
      <c r="O55" s="117" t="inlineStr">
        <is>
          <t>Couleur: Flesh Tone Series</t>
        </is>
      </c>
      <c r="P55" s="117" t="inlineStr">
        <is>
          <t>Marqueurs brosse acryliques — portrait / teintes chair</t>
        </is>
      </c>
      <c r="Q55" s="117" t="inlineStr">
        <is>
          <t>FEUTRE/MARQUEUR ACRYLIQUE : signaler GPSR + REACH (encre) + étiquetage CLP UE ; exiger FDS + déclaration conformité fournisseur (souvent absents sur AliExpress). Vérifier la variante (nb couleurs) vendue.</t>
        </is>
      </c>
      <c r="R55" s="117" t="inlineStr">
        <is>
          <t>Test</t>
        </is>
      </c>
      <c r="S55" s="164" t="n">
        <v>46213</v>
      </c>
      <c r="T55" s="59" t="inlineStr">
        <is>
          <t>AliExpress Choice ; livraison gratuite dès 10€ ; prix selon nb de couleurs ; note agrégée</t>
        </is>
      </c>
      <c r="U55" s="117" t="inlineStr">
        <is>
          <t>PACKSHOT — Hero packshot of the art marker set «Marqueurs brosse acryliques (teintes chair)», markers neatly fanned out, clean pastel background, studio light, ultra-sharp, soft pastel kawaii brand aesthetic, cohesive palette (blush pink, cream, mint, lilac), 1:1.
LIFESTYLE — Top-down flat-lay of «Marqueurs brosse acryliques (teintes chair)» beside a colorful hand-drawn artwork on a cozy creative desk, soft light, soft pastel kawaii brand aesthetic, cohesive palette (blush pink, cream, mint, lilac), 1:1.
EN SITUATION — Close-up of a hand using «Marqueurs brosse acryliques (teintes chair)» to color, vibrant smooth strokes, shallow depth of field.
DÉTAIL — Macro of the marker tips and a grid of color swatches on paper, crisp and colorful.
FEATURE — Clean feature image of «Marqueurs brosse acryliques (teintes chair)» with callouts (number of colors, dual tip, blendable), soft pastel kawaii brand aesthetic, cohesive palette (blush pink, cream, mint, lilac), negative space.</t>
        </is>
      </c>
      <c r="V55" t="inlineStr">
        <is>
          <t>.../outputs/coloriage-kawaii-arborescence-2026-07-09/images_produits/55_feutre-acrylique_1005008854307879</t>
        </is>
      </c>
      <c r="W55" t="inlineStr">
        <is>
          <t>Feutres acryliques Marqueurs brosse acryliques (teintes cha | [Marque</t>
        </is>
      </c>
      <c r="X55" t="inlineStr">
        <is>
          <t>Marqueurs brosse acryliques (teintes cha — feutres acryliqu</t>
        </is>
      </c>
      <c r="Y55" t="inlineStr">
        <is>
          <t>Marqueurs brosse acryliques (teintes cha : couleurs couvrantes multi-supports. Livraison rapide, avis vérifiés. Commandez sur [Marque] !</t>
        </is>
      </c>
      <c r="Z55" s="117" t="inlineStr">
        <is>
          <t>&lt;div class="product-desc"&gt;
  &lt;p&gt;Feutres acryliques &lt;strong&gt;« Marqueurs brosse acryliques (teintes cha »&lt;/strong&gt; — couleurs couvrantes multi-supports.&lt;/p&gt;
  &lt;p&gt;&lt;strong&gt;Des couleurs qui claquent, sans matériel pro ?&lt;/strong&gt;&lt;/p&gt;
  &lt;h3&gt;✅ Des couleurs riches et couvrantes&lt;/h3&gt;
  &lt;p&gt;Peinture acrylique opaque : couvre tout support (papier, roche, verre, bois, tissu).&lt;/p&gt;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Feutres/marqueurs acryliques&lt;/li&gt;
    &lt;li&gt;&lt;strong&gt;Nombre de couleurs :&lt;/strong&gt; Selon variante (voir sélection)&lt;/li&gt;
    &lt;li&gt;&lt;strong&gt;Supports :&lt;/strong&gt; Papier, roche, verre, bois, céramique&lt;/li&gt;
    &lt;li&gt;&lt;strong&gt;Contenu :&lt;/strong&gt; 1 set de feutres&lt;/li&gt;
  &lt;/ul&gt;
  &lt;h3&gt;❓ Questions fréquentes&lt;/h3&gt;
  &lt;details&gt;&lt;summary&gt;Ça traverse le papier ?&lt;/summary&gt;&lt;p&gt;L'acrylique couvre bien ; sur papier fin, glissez une protection dessous.&lt;/p&gt;&lt;/details&gt;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56">
      <c r="A56" s="57" t="inlineStr">
        <is>
          <t>feutre-acrylique-3</t>
        </is>
      </c>
      <c r="B56" s="117" t="inlineStr">
        <is>
          <t>feutre acrylique</t>
        </is>
      </c>
      <c r="C56" s="117" t="inlineStr">
        <is>
          <t>Marqueurs acryliques pointe souple (9 c.)</t>
        </is>
      </c>
      <c r="D56" s="117" t="inlineStr">
        <is>
          <t>https://fr.aliexpress.com/item/1005009045288397.html</t>
        </is>
      </c>
      <c r="E56" s="156" t="n">
        <v>9.289999999999999</v>
      </c>
      <c r="F56" s="156" t="n">
        <v>0</v>
      </c>
      <c r="G56" s="156">
        <f>IF(OR(E56="",F56=""),"",E56+F56)</f>
        <v/>
      </c>
      <c r="H56" s="156">
        <f>IFERROR(VLOOKUP(B56,'Collections'!$C$4:$L$18,10,FALSE),"")</f>
        <v/>
      </c>
      <c r="I56" s="162">
        <f>IFERROR(H56/G56,"")</f>
        <v/>
      </c>
      <c r="J56" s="163" t="n">
        <v>4.9</v>
      </c>
      <c r="K56" s="151" t="n">
        <v>10000</v>
      </c>
      <c r="L56" s="117" t="inlineStr">
        <is>
          <t>Choice — vendeur agrégé</t>
        </is>
      </c>
      <c r="M56" s="117" t="inlineStr">
        <is>
          <t>18-25 juil. (~8-15 j)</t>
        </is>
      </c>
      <c r="N56" s="117" t="inlineStr">
        <is>
          <t>Choice</t>
        </is>
      </c>
      <c r="O56" s="117" t="inlineStr">
        <is>
          <t>Couleur: Gray Brown Series</t>
        </is>
      </c>
      <c r="P56" s="117" t="inlineStr">
        <is>
          <t>Marqueurs acryliques pointe souple — 9 couleurs</t>
        </is>
      </c>
      <c r="Q56" s="117" t="inlineStr">
        <is>
          <t>FEUTRE/MARQUEUR ACRYLIQUE : signaler GPSR + REACH (encre) + étiquetage CLP UE ; exiger FDS + déclaration conformité fournisseur (souvent absents sur AliExpress). Vérifier la variante (nb couleurs) vendue.</t>
        </is>
      </c>
      <c r="R56" s="117" t="inlineStr">
        <is>
          <t>Test</t>
        </is>
      </c>
      <c r="S56" s="164" t="n">
        <v>46213</v>
      </c>
      <c r="T56" s="59" t="inlineStr">
        <is>
          <t>AliExpress Choice ; livraison gratuite dès 10€ ; prix selon nb de couleurs ; note agrégée</t>
        </is>
      </c>
      <c r="U56" s="117" t="inlineStr">
        <is>
          <t>PACKSHOT — Hero packshot of the art marker set «Marqueurs acryliques pointe souple (9 c.)», markers neatly fanned out, clean pastel background, studio light, ultra-sharp, soft pastel kawaii brand aesthetic, cohesive palette (blush pink, cream, mint, lilac), 1:1.
LIFESTYLE — Top-down flat-lay of «Marqueurs acryliques pointe souple (9 c.)» beside a colorful hand-drawn artwork on a cozy creative desk, soft light, soft pastel kawaii brand aesthetic, cohesive palette (blush pink, cream, mint, lilac), 1:1.
EN SITUATION — Close-up of a hand using «Marqueurs acryliques pointe souple (9 c.)» to color, vibrant smooth strokes, shallow depth of field.
DÉTAIL — Macro of the marker tips and a grid of color swatches on paper, crisp and colorful.
FEATURE — Clean feature image of «Marqueurs acryliques pointe souple (9 c.)» with callouts (number of colors, dual tip, blendable), soft pastel kawaii brand aesthetic, cohesive palette (blush pink, cream, mint, lilac), negative space.</t>
        </is>
      </c>
      <c r="V56" t="inlineStr">
        <is>
          <t>.../outputs/coloriage-kawaii-arborescence-2026-07-09/images_produits/56_feutre-acrylique_1005009045288397</t>
        </is>
      </c>
      <c r="W56" t="inlineStr">
        <is>
          <t>Feutres acryliques Marqueurs acryliques pointe souple (9 c. | [Marque</t>
        </is>
      </c>
      <c r="X56" t="inlineStr">
        <is>
          <t>Marqueurs acryliques pointe souple (9 c. — feutres acryliqu</t>
        </is>
      </c>
      <c r="Y56" t="inlineStr">
        <is>
          <t>Marqueurs acryliques pointe souple (9 c. : couleurs couvrantes multi-supports. Livraison rapide, avis vérifiés. Commandez sur [Marque] !</t>
        </is>
      </c>
      <c r="Z56" s="117" t="inlineStr">
        <is>
          <t>&lt;div class="product-desc"&gt;
  &lt;p&gt;Feutres acryliques &lt;strong&gt;« Marqueurs acryliques pointe souple (9 c. »&lt;/strong&gt; — couleurs couvrantes multi-supports.&lt;/p&gt;
  &lt;p&gt;&lt;strong&gt;Le kit idéal pour créer, débuter ou offrir ?&lt;/strong&gt;&lt;/p&gt;
  &lt;h3&gt;✅ Des couleurs riches et couvrantes&lt;/h3&gt;
  &lt;p&gt;Peinture acrylique opaque : couvre tout support (papier, roche, verre, bois, tissu).&lt;/p&gt;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Feutres/marqueurs acryliques&lt;/li&gt;
    &lt;li&gt;&lt;strong&gt;Nombre de couleurs :&lt;/strong&gt; Selon variante (voir sélection)&lt;/li&gt;
    &lt;li&gt;&lt;strong&gt;Supports :&lt;/strong&gt; Papier, roche, verre, bois, céramique&lt;/li&gt;
    &lt;li&gt;&lt;strong&gt;Contenu :&lt;/strong&gt; 1 set de feutres&lt;/li&gt;
  &lt;/ul&gt;
  &lt;h3&gt;❓ Questions fréquentes&lt;/h3&gt;
  &lt;details&gt;&lt;summary&gt;Ça traverse le papier ?&lt;/summary&gt;&lt;p&gt;L'acrylique couvre bien ; sur papier fin, glissez une protection dessous.&lt;/p&gt;&lt;/details&gt;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57">
      <c r="A57" s="57" t="inlineStr">
        <is>
          <t>feutre-acrylique-4</t>
        </is>
      </c>
      <c r="B57" s="117" t="inlineStr">
        <is>
          <t>feutre acrylique</t>
        </is>
      </c>
      <c r="C57" s="117" t="inlineStr">
        <is>
          <t>Feutres acryliques 12-60 couleurs (kit)</t>
        </is>
      </c>
      <c r="D57" s="117" t="inlineStr">
        <is>
          <t>https://fr.aliexpress.com/item/1005011822673997.html</t>
        </is>
      </c>
      <c r="E57" s="156" t="n">
        <v>8.289999999999999</v>
      </c>
      <c r="F57" s="156" t="n">
        <v>0</v>
      </c>
      <c r="G57" s="156">
        <f>IF(OR(E57="",F57=""),"",E57+F57)</f>
        <v/>
      </c>
      <c r="H57" s="156">
        <f>IFERROR(VLOOKUP(B57,'Collections'!$C$4:$L$18,10,FALSE),"")</f>
        <v/>
      </c>
      <c r="I57" s="162">
        <f>IFERROR(H57/G57,"")</f>
        <v/>
      </c>
      <c r="J57" s="163" t="n">
        <v>4.9</v>
      </c>
      <c r="K57" s="151" t="n">
        <v>10000</v>
      </c>
      <c r="L57" s="117" t="inlineStr">
        <is>
          <t>Choice — vendeur agrégé</t>
        </is>
      </c>
      <c r="M57" s="117" t="inlineStr">
        <is>
          <t>16-20 juil. (~6-10 j)</t>
        </is>
      </c>
      <c r="N57" s="117" t="inlineStr">
        <is>
          <t>Choice</t>
        </is>
      </c>
      <c r="O57" s="117" t="inlineStr">
        <is>
          <t>Couleur: 12 (jusqu'à 60)</t>
        </is>
      </c>
      <c r="P57" s="117" t="inlineStr">
        <is>
          <t>Feutres acryliques kit 12-60 c. — set complet</t>
        </is>
      </c>
      <c r="Q57" s="117" t="inlineStr">
        <is>
          <t>FEUTRE/MARQUEUR ACRYLIQUE : signaler GPSR + REACH (encre) + étiquetage CLP UE ; exiger FDS + déclaration conformité fournisseur (souvent absents sur AliExpress). Vérifier la variante (nb couleurs) vendue.</t>
        </is>
      </c>
      <c r="R57" s="117" t="inlineStr">
        <is>
          <t>Test</t>
        </is>
      </c>
      <c r="S57" s="164" t="n">
        <v>46213</v>
      </c>
      <c r="T57" s="59" t="inlineStr">
        <is>
          <t>AliExpress Choice ; livraison gratuite dès 10€ ; prix selon nb de couleurs ; note agrégée</t>
        </is>
      </c>
      <c r="U57" s="117" t="inlineStr">
        <is>
          <t>PACKSHOT — Hero packshot of the art marker set «Feutres acryliques 12-60 couleurs (kit)», markers neatly fanned out, clean pastel background, studio light, ultra-sharp, soft pastel kawaii brand aesthetic, cohesive palette (blush pink, cream, mint, lilac), 1:1.
LIFESTYLE — Top-down flat-lay of «Feutres acryliques 12-60 couleurs (kit)» beside a colorful hand-drawn artwork on a cozy creative desk, soft light, soft pastel kawaii brand aesthetic, cohesive palette (blush pink, cream, mint, lilac), 1:1.
EN SITUATION — Close-up of a hand using «Feutres acryliques 12-60 couleurs (kit)» to color, vibrant smooth strokes, shallow depth of field.
DÉTAIL — Macro of the marker tips and a grid of color swatches on paper, crisp and colorful.
FEATURE — Clean feature image of «Feutres acryliques 12-60 couleurs (kit)» with callouts (number of colors, dual tip, blendable), soft pastel kawaii brand aesthetic, cohesive palette (blush pink, cream, mint, lilac), negative space.</t>
        </is>
      </c>
      <c r="V57" t="inlineStr">
        <is>
          <t>.../outputs/coloriage-kawaii-arborescence-2026-07-09/images_produits/57_feutre-acrylique_1005011822673997</t>
        </is>
      </c>
      <c r="W57" t="inlineStr">
        <is>
          <t>Feutres acryliques Feutres acryliques 12-60 couleurs (kit) | [Marque]</t>
        </is>
      </c>
      <c r="X57" t="inlineStr">
        <is>
          <t>Feutres acryliques 12-60 couleurs (kit) — feutres acrylique</t>
        </is>
      </c>
      <c r="Y57" t="inlineStr">
        <is>
          <t>Feutres acryliques 12-60 couleurs (kit) : couleurs couvrantes multi-supports. Livraison rapide, avis vérifiés. Commandez sur [Marque] !</t>
        </is>
      </c>
      <c r="Z57" s="117" t="inlineStr">
        <is>
          <t>&lt;div class="product-desc"&gt;
  &lt;p&gt;Feutres acryliques &lt;strong&gt;« Feutres acryliques 12-60 couleurs (kit) »&lt;/strong&gt; — couleurs couvrantes multi-supports.&lt;/p&gt;
  &lt;p&gt;&lt;strong&gt;Envie de passer au niveau supérieur en dessin ?&lt;/strong&gt;&lt;/p&gt;
  &lt;h3&gt;✅ Des couleurs riches et couvrantes&lt;/h3&gt;
  &lt;p&gt;Peinture acrylique opaque : couvre tout support (papier, roche, verre, bois, tissu).&lt;/p&gt;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Feutres/marqueurs acryliques&lt;/li&gt;
    &lt;li&gt;&lt;strong&gt;Nombre de couleurs :&lt;/strong&gt; Selon variante (voir sélection)&lt;/li&gt;
    &lt;li&gt;&lt;strong&gt;Supports :&lt;/strong&gt; Papier, roche, verre, bois, céramique&lt;/li&gt;
    &lt;li&gt;&lt;strong&gt;Contenu :&lt;/strong&gt; 1 set de feutres&lt;/li&gt;
  &lt;/ul&gt;
  &lt;h3&gt;❓ Questions fréquentes&lt;/h3&gt;
  &lt;details&gt;&lt;summary&gt;Ça traverse le papier ?&lt;/summary&gt;&lt;p&gt;L'acrylique couvre bien ; sur papier fin, glissez une protection dessous.&lt;/p&gt;&lt;/details&gt;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58">
      <c r="A58" s="57" t="inlineStr">
        <is>
          <t>feutre-acrylique-5</t>
        </is>
      </c>
      <c r="B58" s="117" t="inlineStr">
        <is>
          <t>feutre acrylique</t>
        </is>
      </c>
      <c r="C58" s="117" t="inlineStr">
        <is>
          <t>Marqueurs pinceau acryliques pro (9 pièces)</t>
        </is>
      </c>
      <c r="D58" s="117" t="inlineStr">
        <is>
          <t>https://fr.aliexpress.com/item/1005009278356080.html</t>
        </is>
      </c>
      <c r="E58" s="156" t="n">
        <v>10.59</v>
      </c>
      <c r="F58" s="156" t="n">
        <v>0</v>
      </c>
      <c r="G58" s="156">
        <f>IF(OR(E58="",F58=""),"",E58+F58)</f>
        <v/>
      </c>
      <c r="H58" s="156">
        <f>IFERROR(VLOOKUP(B58,'Collections'!$C$4:$L$18,10,FALSE),"")</f>
        <v/>
      </c>
      <c r="I58" s="162">
        <f>IFERROR(H58/G58,"")</f>
        <v/>
      </c>
      <c r="J58" s="163" t="n">
        <v>4.9</v>
      </c>
      <c r="K58" s="151" t="n">
        <v>10000</v>
      </c>
      <c r="L58" s="117" t="inlineStr">
        <is>
          <t>Choice — vendeur agrégé</t>
        </is>
      </c>
      <c r="M58" s="117" t="inlineStr">
        <is>
          <t>16-22 juil. (~6-12 j)</t>
        </is>
      </c>
      <c r="N58" s="117" t="inlineStr">
        <is>
          <t>Choice</t>
        </is>
      </c>
      <c r="O58" s="117" t="inlineStr">
        <is>
          <t>Couleur: Flesh Tone Series</t>
        </is>
      </c>
      <c r="P58" s="117" t="inlineStr">
        <is>
          <t>Marqueurs pinceau acryliques pro — contrôle d'encre</t>
        </is>
      </c>
      <c r="Q58" s="117" t="inlineStr">
        <is>
          <t>FEUTRE/MARQUEUR ACRYLIQUE : signaler GPSR + REACH (encre) + étiquetage CLP UE ; exiger FDS + déclaration conformité fournisseur (souvent absents sur AliExpress). Vérifier la variante (nb couleurs) vendue.</t>
        </is>
      </c>
      <c r="R58" s="117" t="inlineStr">
        <is>
          <t>Test</t>
        </is>
      </c>
      <c r="S58" s="164" t="n">
        <v>46213</v>
      </c>
      <c r="T58" s="59" t="inlineStr">
        <is>
          <t>AliExpress Choice ; livraison gratuite dès 10€ ; prix selon nb de couleurs ; note agrégée</t>
        </is>
      </c>
      <c r="U58" s="117" t="inlineStr">
        <is>
          <t>PACKSHOT — Hero packshot of the art marker set «Marqueurs pinceau acryliques pro (9 pièces)», markers neatly fanned out, clean pastel background, studio light, ultra-sharp, soft pastel kawaii brand aesthetic, cohesive palette (blush pink, cream, mint, lilac), 1:1.
LIFESTYLE — Top-down flat-lay of «Marqueurs pinceau acryliques pro (9 pièces)» beside a colorful hand-drawn artwork on a cozy creative desk, soft light, soft pastel kawaii brand aesthetic, cohesive palette (blush pink, cream, mint, lilac), 1:1.
EN SITUATION — Close-up of a hand using «Marqueurs pinceau acryliques pro (9 pièces)» to color, vibrant smooth strokes, shallow depth of field.
DÉTAIL — Macro of the marker tips and a grid of color swatches on paper, crisp and colorful.
FEATURE — Clean feature image of «Marqueurs pinceau acryliques pro (9 pièces)» with callouts (number of colors, dual tip, blendable), soft pastel kawaii brand aesthetic, cohesive palette (blush pink, cream, mint, lilac), negative space.</t>
        </is>
      </c>
      <c r="V58" t="inlineStr">
        <is>
          <t>.../outputs/coloriage-kawaii-arborescence-2026-07-09/images_produits/58_feutre-acrylique_1005009278356080</t>
        </is>
      </c>
      <c r="W58" t="inlineStr">
        <is>
          <t>Feutres acryliques Marqueurs pinceau acryliques pro (9 pièc | [Marque</t>
        </is>
      </c>
      <c r="X58" t="inlineStr">
        <is>
          <t>Marqueurs pinceau acryliques pro (9 pièc — feutres acryliqu</t>
        </is>
      </c>
      <c r="Y58" t="inlineStr">
        <is>
          <t>Marqueurs pinceau acryliques pro (9 pièc : couleurs couvrantes multi-supports. Livraison rapide, avis vérifiés. Commandez sur [Marque] !</t>
        </is>
      </c>
      <c r="Z58" s="117" t="inlineStr">
        <is>
          <t>&lt;div class="product-desc"&gt;
  &lt;p&gt;Feutres acryliques &lt;strong&gt;« Marqueurs pinceau acryliques pro (9 pièc »&lt;/strong&gt; — couleurs couvrantes multi-supports.&lt;/p&gt;
  &lt;p&gt;&lt;strong&gt;Des couleurs qui claquent, sans matériel pro ?&lt;/strong&gt;&lt;/p&gt;
  &lt;h3&gt;✅ Des couleurs riches et couvrantes&lt;/h3&gt;
  &lt;p&gt;Peinture acrylique opaque : couvre tout support (papier, roche, verre, bois, tissu).&lt;/p&gt;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Feutres/marqueurs acryliques&lt;/li&gt;
    &lt;li&gt;&lt;strong&gt;Nombre de couleurs :&lt;/strong&gt; Selon variante (voir sélection)&lt;/li&gt;
    &lt;li&gt;&lt;strong&gt;Supports :&lt;/strong&gt; Papier, roche, verre, bois, céramique&lt;/li&gt;
    &lt;li&gt;&lt;strong&gt;Contenu :&lt;/strong&gt; 1 set de feutres&lt;/li&gt;
  &lt;/ul&gt;
  &lt;h3&gt;❓ Questions fréquentes&lt;/h3&gt;
  &lt;details&gt;&lt;summary&gt;Ça traverse le papier ?&lt;/summary&gt;&lt;p&gt;L'acrylique couvre bien ; sur papier fin, glissez une protection dessous.&lt;/p&gt;&lt;/details&gt;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59">
      <c r="A59" s="57" t="inlineStr">
        <is>
          <t>feutre-a-alcool-1</t>
        </is>
      </c>
      <c r="B59" s="117" t="inlineStr">
        <is>
          <t>feutre a alcool</t>
        </is>
      </c>
      <c r="C59" s="117" t="inlineStr">
        <is>
          <t>Feutres à alcool double pointe (base 12 c.)</t>
        </is>
      </c>
      <c r="D59" s="117" t="inlineStr">
        <is>
          <t>https://fr.aliexpress.com/item/1005010285362911.html</t>
        </is>
      </c>
      <c r="E59" s="156" t="n">
        <v>8.99</v>
      </c>
      <c r="F59" s="156" t="n">
        <v>0</v>
      </c>
      <c r="G59" s="156">
        <f>IF(OR(E59="",F59=""),"",E59+F59)</f>
        <v/>
      </c>
      <c r="H59" s="156">
        <f>IFERROR(VLOOKUP(B59,'Collections'!$C$4:$L$18,10,FALSE),"")</f>
        <v/>
      </c>
      <c r="I59" s="162">
        <f>IFERROR(H59/G59,"")</f>
        <v/>
      </c>
      <c r="J59" s="163" t="n">
        <v>4.9</v>
      </c>
      <c r="K59" s="151" t="n">
        <v>4000</v>
      </c>
      <c r="L59" s="117" t="inlineStr">
        <is>
          <t>Choice — vendeur agrégé</t>
        </is>
      </c>
      <c r="M59" s="117" t="inlineStr">
        <is>
          <t>16-22 juil. (~6-12 j)</t>
        </is>
      </c>
      <c r="N59" s="117" t="inlineStr">
        <is>
          <t>Choice</t>
        </is>
      </c>
      <c r="O59" s="117" t="inlineStr">
        <is>
          <t>Couleur: 12PCS</t>
        </is>
      </c>
      <c r="P59" s="117" t="inlineStr">
        <is>
          <t>Feutres à alcool double pointe — croquis/coloriage</t>
        </is>
      </c>
      <c r="Q59" s="117" t="inlineStr">
        <is>
          <t>FEUTRE/MARQUEUR À ALCOOL : signaler GPSR + REACH (solvant alcool) + étiquetage CLP UE ; exiger FDS + déclaration conformité (souvent absents). Vérifier variante (nb couleurs) = prix réel.</t>
        </is>
      </c>
      <c r="R59" s="117" t="inlineStr">
        <is>
          <t>Test</t>
        </is>
      </c>
      <c r="S59" s="164" t="n">
        <v>46213</v>
      </c>
      <c r="T59" s="59" t="inlineStr">
        <is>
          <t>AliExpress Choice ; livraison gratuite dès 10€ ; prix selon nb de couleurs ; note agrégée</t>
        </is>
      </c>
      <c r="U59" s="117" t="inlineStr">
        <is>
          <t>PACKSHOT — Hero packshot of the art marker set «Feutres à alcool double pointe (base 12 c.)», markers neatly fanned out, clean pastel background, studio light, ultra-sharp, soft pastel kawaii brand aesthetic, cohesive palette (blush pink, cream, mint, lilac), 1:1.
LIFESTYLE — Top-down flat-lay of «Feutres à alcool double pointe (base 12 c.)» beside a colorful hand-drawn artwork on a cozy creative desk, soft light, soft pastel kawaii brand aesthetic, cohesive palette (blush pink, cream, mint, lilac), 1:1.
EN SITUATION — Close-up of a hand using «Feutres à alcool double pointe (base 12 c.)» to color, vibrant smooth strokes, shallow depth of field.
DÉTAIL — Macro of the marker tips and a grid of color swatches on paper, crisp and colorful.
FEATURE — Clean feature image of «Feutres à alcool double pointe (base 12 c.)» with callouts (number of colors, dual tip, blendable), soft pastel kawaii brand aesthetic, cohesive palette (blush pink, cream, mint, lilac), negative space.</t>
        </is>
      </c>
      <c r="V59" t="inlineStr">
        <is>
          <t>.../outputs/coloriage-kawaii-arborescence-2026-07-09/images_produits/59_feutre-a-alcool_1005010285362911</t>
        </is>
      </c>
      <c r="W59" t="inlineStr">
        <is>
          <t>Feutres à alcool Feutres à alcool double pointe (base 12 | [Marque]</t>
        </is>
      </c>
      <c r="X59" t="inlineStr">
        <is>
          <t xml:space="preserve">Feutres à alcool double pointe (base 12 — feutres à alcool </t>
        </is>
      </c>
      <c r="Y59" t="inlineStr">
        <is>
          <t>Feutres à alcool double pointe (base 12 : rendu pro, dégradés fondus. Livraison rapide, avis vérifiés. Commandez sur [Marque] !</t>
        </is>
      </c>
      <c r="Z59" s="117" t="inlineStr">
        <is>
          <t>&lt;div class="product-desc"&gt;
  &lt;p&gt;Feutres à alcool &lt;strong&gt;« Feutres à alcool double pointe (base 12 »&lt;/strong&gt; — rendu pro, dégradés fondus.&lt;/p&gt;
  &lt;p&gt;&lt;strong&gt;Envie de passer au niveau supérieur en dessin ?&lt;/strong&gt;&lt;/p&gt;
  &lt;h3&gt;✅ Des couleurs riches et couvrantes&lt;/h3&gt;
  &lt;p&gt;Encre à base d'alcool : rendu pro, dégradés fondus, séchage rapide.&lt;/p&gt;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 à alcool double pointe&lt;/li&gt;
    &lt;li&gt;&lt;strong&gt;Nombre de couleurs :&lt;/strong&gt; Selon variante (voir sélection)&lt;/li&gt;
    &lt;li&gt;&lt;strong&gt;Supports :&lt;/strong&gt; Papier, croquis&lt;/li&gt;
    &lt;li&gt;&lt;strong&gt;Contenu :&lt;/strong&gt; 1 set de feutres&lt;/li&gt;
  &lt;/ul&gt;
  &lt;h3&gt;❓ Questions fréquentes&lt;/h3&gt;
  &lt;details&gt;&lt;summary&gt;Ça traverse le papier ?&lt;/summary&gt;&lt;p&gt;Les feutres à alcool peuvent traverser : utilisez un papier adapté ou une feuille de protection.&lt;/p&gt;&lt;/details&gt;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60">
      <c r="A60" s="57" t="inlineStr">
        <is>
          <t>feutre-a-alcool-2</t>
        </is>
      </c>
      <c r="B60" s="117" t="inlineStr">
        <is>
          <t>feutre a alcool</t>
        </is>
      </c>
      <c r="C60" s="117" t="inlineStr">
        <is>
          <t>Set feutres alcool 48 c. (kit avancé)</t>
        </is>
      </c>
      <c r="D60" s="117" t="inlineStr">
        <is>
          <t>https://fr.aliexpress.com/item/1005009274767478.html</t>
        </is>
      </c>
      <c r="E60" s="156" t="n">
        <v>27.79</v>
      </c>
      <c r="F60" s="156" t="n">
        <v>0</v>
      </c>
      <c r="G60" s="156">
        <f>IF(OR(E60="",F60=""),"",E60+F60)</f>
        <v/>
      </c>
      <c r="H60" s="156">
        <f>IFERROR(VLOOKUP(B60,'Collections'!$C$4:$L$18,10,FALSE),"")</f>
        <v/>
      </c>
      <c r="I60" s="162">
        <f>IFERROR(H60/G60,"")</f>
        <v/>
      </c>
      <c r="J60" s="163" t="n">
        <v>4.9</v>
      </c>
      <c r="K60" s="151" t="n">
        <v>1000</v>
      </c>
      <c r="L60" s="117" t="inlineStr">
        <is>
          <t>Choice — vendeur agrégé</t>
        </is>
      </c>
      <c r="M60" s="117" t="inlineStr">
        <is>
          <t>16-20 juil. (~6-10 j)</t>
        </is>
      </c>
      <c r="N60" s="117" t="inlineStr">
        <is>
          <t>Choice</t>
        </is>
      </c>
      <c r="O60" s="117" t="inlineStr">
        <is>
          <t>Couleur: 1CRMK48 (48 c.)</t>
        </is>
      </c>
      <c r="P60" s="117" t="inlineStr">
        <is>
          <t>Kit feutres alcool 48 c. — set avancé</t>
        </is>
      </c>
      <c r="Q60" s="117" t="inlineStr">
        <is>
          <t>FEUTRE/MARQUEUR À ALCOOL : signaler GPSR + REACH (solvant alcool) + étiquetage CLP UE ; exiger FDS + déclaration conformité (souvent absents). Vérifier variante (nb couleurs) = prix réel.</t>
        </is>
      </c>
      <c r="R60" s="117" t="inlineStr">
        <is>
          <t>Test</t>
        </is>
      </c>
      <c r="S60" s="164" t="n">
        <v>46213</v>
      </c>
      <c r="T60" s="59" t="inlineStr">
        <is>
          <t>AliExpress Choice ; livraison gratuite dès 10€ ; prix selon nb de couleurs ; note agrégée ; ATTENTION marge x1,3 au prix 34,90€ sur variante 48c → remonter le prix ou vendre variante plus petite</t>
        </is>
      </c>
      <c r="U60" s="117" t="inlineStr">
        <is>
          <t>PACKSHOT — Hero packshot of the art marker set «Set feutres alcool 48 c. (kit avancé)», markers neatly fanned out, clean pastel background, studio light, ultra-sharp, soft pastel kawaii brand aesthetic, cohesive palette (blush pink, cream, mint, lilac), 1:1.
LIFESTYLE — Top-down flat-lay of «Set feutres alcool 48 c. (kit avancé)» beside a colorful hand-drawn artwork on a cozy creative desk, soft light, soft pastel kawaii brand aesthetic, cohesive palette (blush pink, cream, mint, lilac), 1:1.
EN SITUATION — Close-up of a hand using «Set feutres alcool 48 c. (kit avancé)» to color, vibrant smooth strokes, shallow depth of field.
DÉTAIL — Macro of the marker tips and a grid of color swatches on paper, crisp and colorful.
FEATURE — Clean feature image of «Set feutres alcool 48 c. (kit avancé)» with callouts (number of colors, dual tip, blendable), soft pastel kawaii brand aesthetic, cohesive palette (blush pink, cream, mint, lilac), negative space.</t>
        </is>
      </c>
      <c r="V60" t="inlineStr">
        <is>
          <t>.../outputs/coloriage-kawaii-arborescence-2026-07-09/images_produits/60_feutre-a-alcool_1005009274767478</t>
        </is>
      </c>
      <c r="W60" t="inlineStr">
        <is>
          <t>Feutres à alcool Set feutres alcool 48 c. (kit avancé) | [Marque]</t>
        </is>
      </c>
      <c r="X60" t="inlineStr">
        <is>
          <t xml:space="preserve">Set feutres alcool 48 c. (kit avancé) — feutres à alcool | </t>
        </is>
      </c>
      <c r="Y60" t="inlineStr">
        <is>
          <t>Set feutres alcool 48 c. (kit avancé) : rendu pro, dégradés fondus. Livraison rapide, avis vérifiés. Commandez sur [Marque] !</t>
        </is>
      </c>
      <c r="Z60" s="117" t="inlineStr">
        <is>
          <t>&lt;div class="product-desc"&gt;
  &lt;p&gt;Feutres à alcool &lt;strong&gt;« Set feutres alcool 48 c. (kit avancé) »&lt;/strong&gt; — rendu pro, dégradés fondus.&lt;/p&gt;
  &lt;p&gt;&lt;strong&gt;Des couleurs qui claquent, sans matériel pro ?&lt;/strong&gt;&lt;/p&gt;
  &lt;h3&gt;✅ Des couleurs riches et couvrantes&lt;/h3&gt;
  &lt;p&gt;Encre à base d'alcool : rendu pro, dégradés fondus, séchage rapide.&lt;/p&gt;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 à alcool double pointe&lt;/li&gt;
    &lt;li&gt;&lt;strong&gt;Nombre de couleurs :&lt;/strong&gt; Selon variante (voir sélection)&lt;/li&gt;
    &lt;li&gt;&lt;strong&gt;Supports :&lt;/strong&gt; Papier, croquis&lt;/li&gt;
    &lt;li&gt;&lt;strong&gt;Contenu :&lt;/strong&gt; 1 set de feutres&lt;/li&gt;
  &lt;/ul&gt;
  &lt;h3&gt;❓ Questions fréquentes&lt;/h3&gt;
  &lt;details&gt;&lt;summary&gt;Ça traverse le papier ?&lt;/summary&gt;&lt;p&gt;Les feutres à alcool peuvent traverser : utilisez un papier adapté ou une feuille de protection.&lt;/p&gt;&lt;/details&gt;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61">
      <c r="A61" s="57" t="inlineStr">
        <is>
          <t>feutre-a-alcool-3</t>
        </is>
      </c>
      <c r="B61" s="117" t="inlineStr">
        <is>
          <t>feutre a alcool</t>
        </is>
      </c>
      <c r="C61" s="117" t="inlineStr">
        <is>
          <t>Feutres alcool croquis double pointe (base 12 c.)</t>
        </is>
      </c>
      <c r="D61" s="117" t="inlineStr">
        <is>
          <t>https://fr.aliexpress.com/item/1005010439252851.html</t>
        </is>
      </c>
      <c r="E61" s="156" t="n">
        <v>8.890000000000001</v>
      </c>
      <c r="F61" s="156" t="n">
        <v>0</v>
      </c>
      <c r="G61" s="156">
        <f>IF(OR(E61="",F61=""),"",E61+F61)</f>
        <v/>
      </c>
      <c r="H61" s="156">
        <f>IFERROR(VLOOKUP(B61,'Collections'!$C$4:$L$18,10,FALSE),"")</f>
        <v/>
      </c>
      <c r="I61" s="162">
        <f>IFERROR(H61/G61,"")</f>
        <v/>
      </c>
      <c r="J61" s="163" t="n">
        <v>4.9</v>
      </c>
      <c r="K61" s="151" t="n">
        <v>1000</v>
      </c>
      <c r="L61" s="117" t="inlineStr">
        <is>
          <t>Choice — vendeur agrégé</t>
        </is>
      </c>
      <c r="M61" s="117" t="inlineStr">
        <is>
          <t>18-25 juil. (~8-15 j)</t>
        </is>
      </c>
      <c r="N61" s="117" t="inlineStr">
        <is>
          <t>Choice</t>
        </is>
      </c>
      <c r="O61" s="117" t="inlineStr">
        <is>
          <t>Couleur: 12 pièces</t>
        </is>
      </c>
      <c r="P61" s="117" t="inlineStr">
        <is>
          <t>Feutres alcool croquis — double pointe</t>
        </is>
      </c>
      <c r="Q61" s="117" t="inlineStr">
        <is>
          <t>FEUTRE/MARQUEUR À ALCOOL : signaler GPSR + REACH (solvant alcool) + étiquetage CLP UE ; exiger FDS + déclaration conformité (souvent absents). Vérifier variante (nb couleurs) = prix réel.</t>
        </is>
      </c>
      <c r="R61" s="117" t="inlineStr">
        <is>
          <t>Test</t>
        </is>
      </c>
      <c r="S61" s="164" t="n">
        <v>46213</v>
      </c>
      <c r="T61" s="59" t="inlineStr">
        <is>
          <t>AliExpress Choice ; livraison gratuite dès 10€ ; prix selon nb de couleurs ; note agrégée</t>
        </is>
      </c>
      <c r="U61" s="117" t="inlineStr">
        <is>
          <t>PACKSHOT — Hero packshot of the art marker set «Feutres alcool croquis double pointe (base 12 c.)», markers neatly fanned out, clean pastel background, studio light, ultra-sharp, soft pastel kawaii brand aesthetic, cohesive palette (blush pink, cream, mint, lilac), 1:1.
LIFESTYLE — Top-down flat-lay of «Feutres alcool croquis double pointe (base 12 c.)» beside a colorful hand-drawn artwork on a cozy creative desk, soft light, soft pastel kawaii brand aesthetic, cohesive palette (blush pink, cream, mint, lilac), 1:1.
EN SITUATION — Close-up of a hand using «Feutres alcool croquis double pointe (base 12 c.)» to color, vibrant smooth strokes, shallow depth of field.
DÉTAIL — Macro of the marker tips and a grid of color swatches on paper, crisp and colorful.
FEATURE — Clean feature image of «Feutres alcool croquis double pointe (base 12 c.)» with callouts (number of colors, dual tip, blendable), soft pastel kawaii brand aesthetic, cohesive palette (blush pink, cream, mint, lilac), negative space.</t>
        </is>
      </c>
      <c r="V61" t="inlineStr">
        <is>
          <t>.../outputs/coloriage-kawaii-arborescence-2026-07-09/images_produits/61_feutre-a-alcool_1005010439252851</t>
        </is>
      </c>
      <c r="W61" t="inlineStr">
        <is>
          <t>Feutres à alcool Feutres alcool croquis double pointe (ba | [Marque]</t>
        </is>
      </c>
      <c r="X61" t="inlineStr">
        <is>
          <t>Feutres alcool croquis double pointe (ba — feutres à alcool</t>
        </is>
      </c>
      <c r="Y61" t="inlineStr">
        <is>
          <t>Feutres alcool croquis double pointe (ba : rendu pro, dégradés fondus. Livraison rapide, avis vérifiés. Commandez sur [Marque] !</t>
        </is>
      </c>
      <c r="Z61" s="117" t="inlineStr">
        <is>
          <t>&lt;div class="product-desc"&gt;
  &lt;p&gt;Feutres à alcool &lt;strong&gt;« Feutres alcool croquis double pointe (ba »&lt;/strong&gt; — rendu pro, dégradés fondus.&lt;/p&gt;
  &lt;p&gt;&lt;strong&gt;Le kit idéal pour créer, débuter ou offrir ?&lt;/strong&gt;&lt;/p&gt;
  &lt;h3&gt;✅ Des couleurs riches et couvrantes&lt;/h3&gt;
  &lt;p&gt;Encre à base d'alcool : rendu pro, dégradés fondus, séchage rapide.&lt;/p&gt;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 à alcool double pointe&lt;/li&gt;
    &lt;li&gt;&lt;strong&gt;Nombre de couleurs :&lt;/strong&gt; Selon variante (voir sélection)&lt;/li&gt;
    &lt;li&gt;&lt;strong&gt;Supports :&lt;/strong&gt; Papier, croquis&lt;/li&gt;
    &lt;li&gt;&lt;strong&gt;Contenu :&lt;/strong&gt; 1 set de feutres&lt;/li&gt;
  &lt;/ul&gt;
  &lt;h3&gt;❓ Questions fréquentes&lt;/h3&gt;
  &lt;details&gt;&lt;summary&gt;Ça traverse le papier ?&lt;/summary&gt;&lt;p&gt;Les feutres à alcool peuvent traverser : utilisez un papier adapté ou une feuille de protection.&lt;/p&gt;&lt;/details&gt;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62">
      <c r="A62" s="57" t="inlineStr">
        <is>
          <t>feutre-a-alcool-4</t>
        </is>
      </c>
      <c r="B62" s="117" t="inlineStr">
        <is>
          <t>feutre a alcool</t>
        </is>
      </c>
      <c r="C62" s="117" t="inlineStr">
        <is>
          <t>Marqueurs blancs alcool (10 pcs, rehauts)</t>
        </is>
      </c>
      <c r="D62" s="117" t="inlineStr">
        <is>
          <t>https://fr.aliexpress.com/item/1005006058563287.html</t>
        </is>
      </c>
      <c r="E62" s="156" t="n">
        <v>8.289999999999999</v>
      </c>
      <c r="F62" s="156" t="n">
        <v>0</v>
      </c>
      <c r="G62" s="156">
        <f>IF(OR(E62="",F62=""),"",E62+F62)</f>
        <v/>
      </c>
      <c r="H62" s="156">
        <f>IFERROR(VLOOKUP(B62,'Collections'!$C$4:$L$18,10,FALSE),"")</f>
        <v/>
      </c>
      <c r="I62" s="162">
        <f>IFERROR(H62/G62,"")</f>
        <v/>
      </c>
      <c r="J62" s="163" t="n">
        <v>4.8</v>
      </c>
      <c r="K62" s="151" t="n">
        <v>800</v>
      </c>
      <c r="L62" s="117" t="inlineStr">
        <is>
          <t>Vendeur AliExpress (non Choice)</t>
        </is>
      </c>
      <c r="M62" s="117" t="inlineStr">
        <is>
          <t>16-20 juil. (~6-10 j)</t>
        </is>
      </c>
      <c r="N62" s="117" t="inlineStr">
        <is>
          <t>Non</t>
        </is>
      </c>
      <c r="O62" s="117" t="inlineStr">
        <is>
          <t>Couleur: 10Pcs 1.0mm</t>
        </is>
      </c>
      <c r="P62" s="117" t="inlineStr">
        <is>
          <t>Marqueurs blancs — rehauts / détails (complément)</t>
        </is>
      </c>
      <c r="Q62" s="117" t="inlineStr">
        <is>
          <t>FEUTRE/MARQUEUR À ALCOOL : signaler GPSR + REACH (solvant alcool) + étiquetage CLP UE ; exiger FDS + déclaration conformité (souvent absents). Vérifier variante (nb couleurs) = prix réel.</t>
        </is>
      </c>
      <c r="R62" s="117" t="inlineStr">
        <is>
          <t>Test</t>
        </is>
      </c>
      <c r="S62" s="164" t="n">
        <v>46213</v>
      </c>
      <c r="T62" s="59" t="inlineStr">
        <is>
          <t>AliExpress Choice ; livraison gratuite dès 10€ ; prix selon nb de couleurs ; note agrégée ; NON Choice</t>
        </is>
      </c>
      <c r="U62" s="117" t="inlineStr">
        <is>
          <t>PACKSHOT — Hero packshot of the art marker set «Marqueurs blancs alcool (10 pcs, rehauts)», markers neatly fanned out, clean pastel background, studio light, ultra-sharp, soft pastel kawaii brand aesthetic, cohesive palette (blush pink, cream, mint, lilac), 1:1.
LIFESTYLE — Top-down flat-lay of «Marqueurs blancs alcool (10 pcs, rehauts)» beside a colorful hand-drawn artwork on a cozy creative desk, soft light, soft pastel kawaii brand aesthetic, cohesive palette (blush pink, cream, mint, lilac), 1:1.
EN SITUATION — Close-up of a hand using «Marqueurs blancs alcool (10 pcs, rehauts)» to color, vibrant smooth strokes, shallow depth of field.
DÉTAIL — Macro of the marker tips and a grid of color swatches on paper, crisp and colorful.
FEATURE — Clean feature image of «Marqueurs blancs alcool (10 pcs, rehauts)» with callouts (number of colors, dual tip, blendable), soft pastel kawaii brand aesthetic, cohesive palette (blush pink, cream, mint, lilac), negative space.</t>
        </is>
      </c>
      <c r="V62" t="inlineStr">
        <is>
          <t>.../outputs/coloriage-kawaii-arborescence-2026-07-09/images_produits/62_feutre-a-alcool_1005006058563287</t>
        </is>
      </c>
      <c r="W62" t="inlineStr">
        <is>
          <t>Feutres à alcool Marqueurs blancs alcool (10 pcs, rehauts | [Marque]</t>
        </is>
      </c>
      <c r="X62" t="inlineStr">
        <is>
          <t>Marqueurs blancs alcool (10 pcs, rehauts — feutres à alcool</t>
        </is>
      </c>
      <c r="Y62" t="inlineStr">
        <is>
          <t>Marqueurs blancs alcool (10 pcs, rehauts : rendu pro, dégradés fondus. Livraison rapide, avis vérifiés. Commandez sur [Marque] !</t>
        </is>
      </c>
      <c r="Z62" s="117" t="inlineStr">
        <is>
          <t>&lt;div class="product-desc"&gt;
  &lt;p&gt;Feutres à alcool &lt;strong&gt;« Marqueurs blancs alcool (10 pcs, rehauts »&lt;/strong&gt; — rendu pro, dégradés fondus.&lt;/p&gt;
  &lt;p&gt;&lt;strong&gt;Envie de passer au niveau supérieur en dessin ?&lt;/strong&gt;&lt;/p&gt;
  &lt;h3&gt;✅ Des couleurs riches et couvrantes&lt;/h3&gt;
  &lt;p&gt;Encre à base d'alcool : rendu pro, dégradés fondus, séchage rapide.&lt;/p&gt;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 à alcool double pointe&lt;/li&gt;
    &lt;li&gt;&lt;strong&gt;Nombre de couleurs :&lt;/strong&gt; Selon variante (voir sélection)&lt;/li&gt;
    &lt;li&gt;&lt;strong&gt;Supports :&lt;/strong&gt; Papier, croquis&lt;/li&gt;
    &lt;li&gt;&lt;strong&gt;Contenu :&lt;/strong&gt; 1 set de feutres&lt;/li&gt;
  &lt;/ul&gt;
  &lt;h3&gt;❓ Questions fréquentes&lt;/h3&gt;
  &lt;details&gt;&lt;summary&gt;Ça traverse le papier ?&lt;/summary&gt;&lt;p&gt;Les feutres à alcool peuvent traverser : utilisez un papier adapté ou une feuille de protection.&lt;/p&gt;&lt;/details&gt;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63">
      <c r="A63" s="57" t="inlineStr">
        <is>
          <t>feutre-a-alcool-5</t>
        </is>
      </c>
      <c r="B63" s="117" t="inlineStr">
        <is>
          <t>feutre a alcool</t>
        </is>
      </c>
      <c r="C63" s="117" t="inlineStr">
        <is>
          <t>Feutres alcool gris (12 c., ombrage manga)</t>
        </is>
      </c>
      <c r="D63" s="117" t="inlineStr">
        <is>
          <t>https://fr.aliexpress.com/item/1005007117503213.html</t>
        </is>
      </c>
      <c r="E63" s="156" t="n">
        <v>8.890000000000001</v>
      </c>
      <c r="F63" s="156" t="n">
        <v>0</v>
      </c>
      <c r="G63" s="156">
        <f>IF(OR(E63="",F63=""),"",E63+F63)</f>
        <v/>
      </c>
      <c r="H63" s="156">
        <f>IFERROR(VLOOKUP(B63,'Collections'!$C$4:$L$18,10,FALSE),"")</f>
        <v/>
      </c>
      <c r="I63" s="162">
        <f>IFERROR(H63/G63,"")</f>
        <v/>
      </c>
      <c r="J63" s="163" t="n">
        <v>4.7</v>
      </c>
      <c r="K63" s="151" t="n">
        <v>1000</v>
      </c>
      <c r="L63" s="117" t="inlineStr">
        <is>
          <t>Choice — vendeur agrégé</t>
        </is>
      </c>
      <c r="M63" s="117" t="inlineStr">
        <is>
          <t>16-20 juil. (~6-10 j)</t>
        </is>
      </c>
      <c r="N63" s="117" t="inlineStr">
        <is>
          <t>Choice</t>
        </is>
      </c>
      <c r="O63" s="117" t="inlineStr">
        <is>
          <t>Couleur: 12Color Warm Grey</t>
        </is>
      </c>
      <c r="P63" s="117" t="inlineStr">
        <is>
          <t>Feutres alcool gris — ombrage / shading manga</t>
        </is>
      </c>
      <c r="Q63" s="117" t="inlineStr">
        <is>
          <t>FEUTRE/MARQUEUR À ALCOOL : signaler GPSR + REACH (solvant alcool) + étiquetage CLP UE ; exiger FDS + déclaration conformité (souvent absents). Vérifier variante (nb couleurs) = prix réel.</t>
        </is>
      </c>
      <c r="R63" s="117" t="inlineStr">
        <is>
          <t>Test</t>
        </is>
      </c>
      <c r="S63" s="164" t="n">
        <v>46213</v>
      </c>
      <c r="T63" s="59" t="inlineStr">
        <is>
          <t>AliExpress Choice ; livraison gratuite dès 10€ ; prix selon nb de couleurs ; note agrégée</t>
        </is>
      </c>
      <c r="U63" s="117" t="inlineStr">
        <is>
          <t>PACKSHOT — Hero packshot of the art marker set «Feutres alcool gris (12 c., ombrage manga)», markers neatly fanned out, clean pastel background, studio light, ultra-sharp, soft pastel kawaii brand aesthetic, cohesive palette (blush pink, cream, mint, lilac), 1:1.
LIFESTYLE — Top-down flat-lay of «Feutres alcool gris (12 c., ombrage manga)» beside a colorful hand-drawn artwork on a cozy creative desk, soft light, soft pastel kawaii brand aesthetic, cohesive palette (blush pink, cream, mint, lilac), 1:1.
EN SITUATION — Close-up of a hand using «Feutres alcool gris (12 c., ombrage manga)» to color, vibrant smooth strokes, shallow depth of field.
DÉTAIL — Macro of the marker tips and a grid of color swatches on paper, crisp and colorful.
FEATURE — Clean feature image of «Feutres alcool gris (12 c., ombrage manga)» with callouts (number of colors, dual tip, blendable), soft pastel kawaii brand aesthetic, cohesive palette (blush pink, cream, mint, lilac), negative space.</t>
        </is>
      </c>
      <c r="V63" t="inlineStr">
        <is>
          <t>.../outputs/coloriage-kawaii-arborescence-2026-07-09/images_produits/63_feutre-a-alcool_1005007117503213</t>
        </is>
      </c>
      <c r="W63" t="inlineStr">
        <is>
          <t>Feutres à alcool Feutres alcool gris (12 c., ombrage mang | [Marque]</t>
        </is>
      </c>
      <c r="X63" t="inlineStr">
        <is>
          <t>Feutres alcool gris (12 c., ombrage mang — feutres à alcool</t>
        </is>
      </c>
      <c r="Y63" t="inlineStr">
        <is>
          <t>Feutres alcool gris (12 c., ombrage mang : rendu pro, dégradés fondus. Livraison rapide, avis vérifiés. Commandez sur [Marque] !</t>
        </is>
      </c>
      <c r="Z63" s="117" t="inlineStr">
        <is>
          <t>&lt;div class="product-desc"&gt;
  &lt;p&gt;Feutres à alcool &lt;strong&gt;« Feutres alcool gris (12 c., ombrage mang »&lt;/strong&gt; — rendu pro, dégradés fondus.&lt;/p&gt;
  &lt;p&gt;&lt;strong&gt;Des couleurs qui claquent, sans matériel pro ?&lt;/strong&gt;&lt;/p&gt;
  &lt;h3&gt;✅ Des couleurs riches et couvrantes&lt;/h3&gt;
  &lt;p&gt;Encre à base d'alcool : rendu pro, dégradés fondus, séchage rapide.&lt;/p&gt;
  &lt;h3&gt;✅ Prise en main facile&lt;/h3&gt;
  &lt;p&gt;Pointe agréable et confortable, pour les débutants comme les initiés.&lt;/p&gt;
  &lt;h3&gt;✅ Set complet, prêt à créer&lt;/h3&gt;
  &lt;p&gt;Idéal pour coloriage, lettering, illustration et loisirs créatifs.&lt;/p&gt;
  &lt;h3&gt;📦 Caractéristiques&lt;/h3&gt;
  &lt;ul&gt;
    &lt;li&gt;&lt;strong&gt;Type :&lt;/strong&gt; Feutres à alcool double pointe&lt;/li&gt;
    &lt;li&gt;&lt;strong&gt;Nombre de couleurs :&lt;/strong&gt; Selon variante (voir sélection)&lt;/li&gt;
    &lt;li&gt;&lt;strong&gt;Supports :&lt;/strong&gt; Papier, croquis&lt;/li&gt;
    &lt;li&gt;&lt;strong&gt;Contenu :&lt;/strong&gt; 1 set de feutres&lt;/li&gt;
  &lt;/ul&gt;
  &lt;h3&gt;❓ Questions fréquentes&lt;/h3&gt;
  &lt;details&gt;&lt;summary&gt;Ça traverse le papier ?&lt;/summary&gt;&lt;p&gt;Les feutres à alcool peuvent traverser : utilisez un papier adapté ou une feuille de protection.&lt;/p&gt;&lt;/details&gt;
  &lt;details&gt;&lt;summary&gt;Conformité UE ?&lt;/summary&gt;&lt;p&gt;Produit d'art : vérifiez l'étiquetage CLP/REACH et la conformité GPSR du fournisseur avant usage.&lt;/p&gt;&lt;/details&gt;
  &lt;details&gt;&lt;summary&gt;Pour débutants ?&lt;/summary&gt;&lt;p&gt;Oui, aucune expérience requise : on prend le feutre et on colore.&lt;/p&gt;&lt;/details&gt;
  &lt;p&gt;&lt;strong&gt;🛒 Passez à la couleur — Livraison offerte dès 39€ d'achat.&lt;/strong&gt;&lt;/p&gt;
&lt;/div&gt;</t>
        </is>
      </c>
    </row>
    <row r="64">
      <c r="A64" s="57" t="inlineStr">
        <is>
          <t>trousse-kawaii-1</t>
        </is>
      </c>
      <c r="B64" s="117" t="inlineStr">
        <is>
          <t>trousse kawaii</t>
        </is>
      </c>
      <c r="C64" s="117" t="inlineStr">
        <is>
          <t>Trousse peluche chat kawaii (cadeau)</t>
        </is>
      </c>
      <c r="D64" s="117" t="inlineStr">
        <is>
          <t>https://fr.aliexpress.com/item/1005008908864844.html</t>
        </is>
      </c>
      <c r="E64" s="156" t="n">
        <v>7.19</v>
      </c>
      <c r="F64" s="156" t="n">
        <v>0</v>
      </c>
      <c r="G64" s="156">
        <f>IF(OR(E64="",F64=""),"",E64+F64)</f>
        <v/>
      </c>
      <c r="H64" s="156">
        <f>IFERROR(VLOOKUP(B64,'Collections'!$C$4:$L$18,10,FALSE),"")</f>
        <v/>
      </c>
      <c r="I64" s="162">
        <f>IFERROR(H64/G64,"")</f>
        <v/>
      </c>
      <c r="J64" s="163" t="n">
        <v>4.9</v>
      </c>
      <c r="K64" s="151" t="n">
        <v>5000</v>
      </c>
      <c r="L64" s="117" t="inlineStr">
        <is>
          <t>Choice — vendeur agrégé</t>
        </is>
      </c>
      <c r="M64" s="117" t="inlineStr">
        <is>
          <t>18-23 juil. (~8-13 j)</t>
        </is>
      </c>
      <c r="N64" s="117" t="inlineStr">
        <is>
          <t>Choice</t>
        </is>
      </c>
      <c r="O64" s="117" t="inlineStr">
        <is>
          <t>Couleur: Pink</t>
        </is>
      </c>
      <c r="P64" s="117" t="inlineStr">
        <is>
          <t>Trousse peluche chat kawaii — mignonne, cadeau</t>
        </is>
      </c>
      <c r="Q64" s="117" t="inlineStr">
        <is>
          <t>Trousse générique (OK licence), légère. Vérifier finition &amp; fermeture éclair. Marge serrée à 19,90€ pour certaines réf (x3 surtout en lot ≥2).</t>
        </is>
      </c>
      <c r="R64" s="117" t="inlineStr">
        <is>
          <t>Retenir</t>
        </is>
      </c>
      <c r="S64" s="164" t="n">
        <v>46213</v>
      </c>
      <c r="T64" s="59" t="inlineStr">
        <is>
          <t>AliExpress Choice ; livraison gratuite dès 10€ ; note agrégée ; marge x2,8 unité (x3+ lot)</t>
        </is>
      </c>
      <c r="U64" s="117" t="inlineStr">
        <is>
          <t>PACKSHOT — Hero packshot of the pencil case «Trousse peluche chat kawaii (cadeau)», centered on clean pastel seamless background, soft shadow, ultra-sharp, soft pastel kawaii brand aesthetic, cohesive palette (blush pink, cream, mint, lilac), 1:1.
LIFESTYLE — Flat-lay of «Trousse peluche chat kawaii (cadeau)» open on a cozy desk with cute stationery spilling out, soft light, top-down, soft pastel kawaii brand aesthetic, cohesive palette (blush pink, cream, mint, lilac), 1:1.
EN SITUATION — «Trousse peluche chat kawaii (cadeau)» held in a hand / on a school desk, filled with pens, lifestyle, shallow depth of field.
DÉTAIL — Macro of «Trousse peluche chat kawaii (cadeau)» fabric texture and zipper, crisp, soft light.
FEATURE — Clean feature image of «Trousse peluche chat kawaii (cadeau)» with callouts (large capacity, durable, kawaii), soft pastel kawaii brand aesthetic, cohesive palette (blush pink, cream, mint, lilac), negative space.</t>
        </is>
      </c>
      <c r="V64" t="inlineStr">
        <is>
          <t>.../outputs/coloriage-kawaii-arborescence-2026-07-09/images_produits/64_trousse-kawaii_1005008908864844</t>
        </is>
      </c>
      <c r="W64" t="inlineStr">
        <is>
          <t>Trousse kawaii Trousse peluche chat kawaii (cadeau) | [Marque]</t>
        </is>
      </c>
      <c r="X64" t="inlineStr">
        <is>
          <t>Trousse peluche chat kawaii (cadeau) — trousse kawaii | [Ma</t>
        </is>
      </c>
      <c r="Y64" t="inlineStr">
        <is>
          <t>Trousse peluche chat kawaii (cadeau) : grande capacité, mignonne. Livraison rapide, avis vérifiés. Commandez sur [Marque] !</t>
        </is>
      </c>
      <c r="Z64" s="117" t="inlineStr">
        <is>
          <t>&lt;div class="product-desc"&gt;
  &lt;p&gt;Trousse kawaii &lt;strong&gt;« Trousse peluche chat kawaii (cadeau) »&lt;/strong&gt; — grande capacité, mignonne.&lt;/p&gt;
  &lt;p&gt;&lt;strong&gt;Marre des trousses qui débordent et s'abîment ?&lt;/strong&gt;&lt;/p&gt;
  &lt;h3&gt;✅ Grande capacité, tout bien rangé&lt;/h3&gt;
  &lt;p&gt;De la place pour stylos, feutres et petit matériel, sans que tout se mélange.&lt;/p&gt;
  &lt;h3&gt;✅ Un design kawaii qu'on adore&lt;/h3&gt;
  &lt;p&gt;Mignonne et soignée : elle se remarque à l'école comme au bureau.&lt;/p&gt;
  &lt;h3&gt;✅ Solide au quotidien&lt;/h3&gt;
  &lt;p&gt;Matières et fermeture pensées pour durer toute l'année.&lt;/p&gt;
  &lt;h3&gt;📦 Caractéristiques&lt;/h3&gt;
  &lt;ul&gt;
    &lt;li&gt;&lt;strong&gt;Type :&lt;/strong&gt; Trousse / étui à crayons&lt;/li&gt;
    &lt;li&gt;&lt;strong&gt;Matière :&lt;/strong&gt; Voir variante (tissu, peluche, plastique)&lt;/li&gt;
    &lt;li&gt;&lt;strong&gt;Capacité :&lt;/strong&gt; Grande contenance&lt;/li&gt;
    &lt;li&gt;&lt;strong&gt;Idéal pour :&lt;/strong&gt; École, bureau, cadeau&lt;/li&gt;
  &lt;/ul&gt;
  &lt;h3&gt;❓ Questions fréquentes&lt;/h3&gt;
  &lt;details&gt;&lt;summary&gt;Quelle contenance ?&lt;/summary&gt;&lt;p&gt;Grande capacité : de nombreux stylos et feutres (selon modèle).&lt;/p&gt;&lt;/details&gt;
  &lt;details&gt;&lt;summary&gt;La fermeture tient bien ?&lt;/summary&gt;&lt;p&gt;Nous sélectionnons des modèles bien notés ; vérifiez la variante choisie.&lt;/p&gt;&lt;/details&gt;
  &lt;details&gt;&lt;summary&gt;Bon cadeau de rentrée ?&lt;/summary&gt;&lt;p&gt;Oui, mignon et utile, parfait pour la rentrée ou un anniversaire.&lt;/p&gt;&lt;/details&gt;
  &lt;p&gt;&lt;strong&gt;🛒 Adoptez votre trousse — Livraison offerte dès 39€ d'achat.&lt;/strong&gt;&lt;/p&gt;
&lt;/div&gt;</t>
        </is>
      </c>
    </row>
    <row r="65">
      <c r="A65" s="57" t="inlineStr">
        <is>
          <t>trousse-kawaii-2</t>
        </is>
      </c>
      <c r="B65" s="117" t="inlineStr">
        <is>
          <t>trousse kawaii</t>
        </is>
      </c>
      <c r="C65" s="117" t="inlineStr">
        <is>
          <t>Trousse rouleau vintage 'carte au trésor'</t>
        </is>
      </c>
      <c r="D65" s="117" t="inlineStr">
        <is>
          <t>https://fr.aliexpress.com/item/1005006783027557.html</t>
        </is>
      </c>
      <c r="E65" s="156" t="n">
        <v>6.99</v>
      </c>
      <c r="F65" s="156" t="n">
        <v>0</v>
      </c>
      <c r="G65" s="156">
        <f>IF(OR(E65="",F65=""),"",E65+F65)</f>
        <v/>
      </c>
      <c r="H65" s="156">
        <f>IFERROR(VLOOKUP(B65,'Collections'!$C$4:$L$18,10,FALSE),"")</f>
        <v/>
      </c>
      <c r="I65" s="162">
        <f>IFERROR(H65/G65,"")</f>
        <v/>
      </c>
      <c r="J65" s="163" t="n">
        <v>4.9</v>
      </c>
      <c r="K65" s="151" t="n">
        <v>10000</v>
      </c>
      <c r="L65" s="117" t="inlineStr">
        <is>
          <t>Choice — vendeur agrégé</t>
        </is>
      </c>
      <c r="M65" s="117" t="inlineStr">
        <is>
          <t>16-20 juil. (~6-10 j)</t>
        </is>
      </c>
      <c r="N65" s="117" t="inlineStr">
        <is>
          <t>Choice</t>
        </is>
      </c>
      <c r="O65" s="117" t="inlineStr">
        <is>
          <t>Couleur: Matte Coffee</t>
        </is>
      </c>
      <c r="P65" s="117" t="inlineStr">
        <is>
          <t>Trousse rouleau vintage 'carte au trésor' — style aventure</t>
        </is>
      </c>
      <c r="Q65" s="117" t="inlineStr">
        <is>
          <t>Trousse générique (OK licence), légère. Vérifier finition &amp; fermeture éclair. Marge serrée à 19,90€ pour certaines réf (x3 surtout en lot ≥2).</t>
        </is>
      </c>
      <c r="R65" s="117" t="inlineStr">
        <is>
          <t>Retenir</t>
        </is>
      </c>
      <c r="S65" s="164" t="n">
        <v>46213</v>
      </c>
      <c r="T65" s="59" t="inlineStr">
        <is>
          <t>AliExpress Choice ; livraison gratuite dès 10€ ; note agrégée ; marge x2,85 unité (x3+ lot)</t>
        </is>
      </c>
      <c r="U65" s="117" t="inlineStr">
        <is>
          <t>PACKSHOT — Hero packshot of the pencil case «Trousse rouleau vintage 'carte au trésor'», centered on clean pastel seamless background, soft shadow, ultra-sharp, soft pastel kawaii brand aesthetic, cohesive palette (blush pink, cream, mint, lilac), 1:1.
LIFESTYLE — Flat-lay of «Trousse rouleau vintage 'carte au trésor'» open on a cozy desk with cute stationery spilling out, soft light, top-down, soft pastel kawaii brand aesthetic, cohesive palette (blush pink, cream, mint, lilac), 1:1.
EN SITUATION — «Trousse rouleau vintage 'carte au trésor'» held in a hand / on a school desk, filled with pens, lifestyle, shallow depth of field.
DÉTAIL — Macro of «Trousse rouleau vintage 'carte au trésor'» fabric texture and zipper, crisp, soft light.
FEATURE — Clean feature image of «Trousse rouleau vintage 'carte au trésor'» with callouts (large capacity, durable, kawaii), soft pastel kawaii brand aesthetic, cohesive palette (blush pink, cream, mint, lilac), negative space.</t>
        </is>
      </c>
      <c r="V65" t="inlineStr">
        <is>
          <t>.../outputs/coloriage-kawaii-arborescence-2026-07-09/images_produits/65_trousse-kawaii_1005006783027557</t>
        </is>
      </c>
      <c r="W65" t="inlineStr">
        <is>
          <t>Trousse kawaii Trousse rouleau vintage 'carte au trésor | [Marque]</t>
        </is>
      </c>
      <c r="X65" t="inlineStr">
        <is>
          <t>Trousse rouleau vintage 'carte au trésor — trousse kawaii |</t>
        </is>
      </c>
      <c r="Y65" t="inlineStr">
        <is>
          <t>Trousse rouleau vintage 'carte au trésor : grande capacité, mignonne. Livraison rapide, avis vérifiés. Commandez sur [Marque] !</t>
        </is>
      </c>
      <c r="Z65" s="117" t="inlineStr">
        <is>
          <t>&lt;div class="product-desc"&gt;
  &lt;p&gt;Trousse kawaii &lt;strong&gt;« Trousse rouleau vintage 'carte au trésor »&lt;/strong&gt; — grande capacité, mignonne.&lt;/p&gt;
  &lt;p&gt;&lt;strong&gt;Une trousse aussi mignonne que pratique ?&lt;/strong&gt;&lt;/p&gt;
  &lt;h3&gt;✅ Grande capacité, tout bien rangé&lt;/h3&gt;
  &lt;p&gt;De la place pour stylos, feutres et petit matériel, sans que tout se mélange.&lt;/p&gt;
  &lt;h3&gt;✅ Un design kawaii qu'on adore&lt;/h3&gt;
  &lt;p&gt;Mignonne et soignée : elle se remarque à l'école comme au bureau.&lt;/p&gt;
  &lt;h3&gt;✅ Solide au quotidien&lt;/h3&gt;
  &lt;p&gt;Matières et fermeture pensées pour durer toute l'année.&lt;/p&gt;
  &lt;h3&gt;📦 Caractéristiques&lt;/h3&gt;
  &lt;ul&gt;
    &lt;li&gt;&lt;strong&gt;Type :&lt;/strong&gt; Trousse / étui à crayons&lt;/li&gt;
    &lt;li&gt;&lt;strong&gt;Matière :&lt;/strong&gt; Voir variante (tissu, peluche, plastique)&lt;/li&gt;
    &lt;li&gt;&lt;strong&gt;Capacité :&lt;/strong&gt; Grande contenance&lt;/li&gt;
    &lt;li&gt;&lt;strong&gt;Idéal pour :&lt;/strong&gt; École, bureau, cadeau&lt;/li&gt;
  &lt;/ul&gt;
  &lt;h3&gt;❓ Questions fréquentes&lt;/h3&gt;
  &lt;details&gt;&lt;summary&gt;Quelle contenance ?&lt;/summary&gt;&lt;p&gt;Grande capacité : de nombreux stylos et feutres (selon modèle).&lt;/p&gt;&lt;/details&gt;
  &lt;details&gt;&lt;summary&gt;La fermeture tient bien ?&lt;/summary&gt;&lt;p&gt;Nous sélectionnons des modèles bien notés ; vérifiez la variante choisie.&lt;/p&gt;&lt;/details&gt;
  &lt;details&gt;&lt;summary&gt;Bon cadeau de rentrée ?&lt;/summary&gt;&lt;p&gt;Oui, mignon et utile, parfait pour la rentrée ou un anniversaire.&lt;/p&gt;&lt;/details&gt;
  &lt;p&gt;&lt;strong&gt;🛒 Adoptez votre trousse — Livraison offerte dès 39€ d'achat.&lt;/strong&gt;&lt;/p&gt;
&lt;/div&gt;</t>
        </is>
      </c>
    </row>
    <row r="66">
      <c r="A66" s="57" t="inlineStr">
        <is>
          <t>trousse-kawaii-3</t>
        </is>
      </c>
      <c r="B66" s="117" t="inlineStr">
        <is>
          <t>trousse kawaii</t>
        </is>
      </c>
      <c r="C66" s="117" t="inlineStr">
        <is>
          <t>Trousse grande capacité organisée (scolaire)</t>
        </is>
      </c>
      <c r="D66" s="117" t="inlineStr">
        <is>
          <t>https://fr.aliexpress.com/item/1005009121599323.html</t>
        </is>
      </c>
      <c r="E66" s="156" t="n">
        <v>7.19</v>
      </c>
      <c r="F66" s="156" t="n">
        <v>0</v>
      </c>
      <c r="G66" s="156">
        <f>IF(OR(E66="",F66=""),"",E66+F66)</f>
        <v/>
      </c>
      <c r="H66" s="156">
        <f>IFERROR(VLOOKUP(B66,'Collections'!$C$4:$L$18,10,FALSE),"")</f>
        <v/>
      </c>
      <c r="I66" s="162">
        <f>IFERROR(H66/G66,"")</f>
        <v/>
      </c>
      <c r="J66" s="163" t="n">
        <v>4.9</v>
      </c>
      <c r="K66" s="151" t="n">
        <v>10000</v>
      </c>
      <c r="L66" s="117" t="inlineStr">
        <is>
          <t>Choice — vendeur agrégé</t>
        </is>
      </c>
      <c r="M66" s="117" t="inlineStr">
        <is>
          <t>16-22 juil. (~6-12 j)</t>
        </is>
      </c>
      <c r="N66" s="117" t="inlineStr">
        <is>
          <t>Choice</t>
        </is>
      </c>
      <c r="O66" s="117" t="inlineStr">
        <is>
          <t>Couleur: Black2</t>
        </is>
      </c>
      <c r="P66" s="117" t="inlineStr">
        <is>
          <t>Trousse grande capacité organisée — scolaire</t>
        </is>
      </c>
      <c r="Q66" s="117" t="inlineStr">
        <is>
          <t>Trousse générique (OK licence), légère. Vérifier finition &amp; fermeture éclair. Marge serrée à 19,90€ pour certaines réf (x3 surtout en lot ≥2).</t>
        </is>
      </c>
      <c r="R66" s="117" t="inlineStr">
        <is>
          <t>Retenir</t>
        </is>
      </c>
      <c r="S66" s="164" t="n">
        <v>46213</v>
      </c>
      <c r="T66" s="59" t="inlineStr">
        <is>
          <t>AliExpress Choice ; livraison gratuite dès 10€ ; note agrégée ; marge x2,8 unité (x3+ lot)</t>
        </is>
      </c>
      <c r="U66" s="117" t="inlineStr">
        <is>
          <t>PACKSHOT — Hero packshot of the pencil case «Trousse grande capacité organisée (scolaire)», centered on clean pastel seamless background, soft shadow, ultra-sharp, soft pastel kawaii brand aesthetic, cohesive palette (blush pink, cream, mint, lilac), 1:1.
LIFESTYLE — Flat-lay of «Trousse grande capacité organisée (scolaire)» open on a cozy desk with cute stationery spilling out, soft light, top-down, soft pastel kawaii brand aesthetic, cohesive palette (blush pink, cream, mint, lilac), 1:1.
EN SITUATION — «Trousse grande capacité organisée (scolaire)» held in a hand / on a school desk, filled with pens, lifestyle, shallow depth of field.
DÉTAIL — Macro of «Trousse grande capacité organisée (scolaire)» fabric texture and zipper, crisp, soft light.
FEATURE — Clean feature image of «Trousse grande capacité organisée (scolaire)» with callouts (large capacity, durable, kawaii), soft pastel kawaii brand aesthetic, cohesive palette (blush pink, cream, mint, lilac), negative space.</t>
        </is>
      </c>
      <c r="V66" t="inlineStr">
        <is>
          <t>.../outputs/coloriage-kawaii-arborescence-2026-07-09/images_produits/66_trousse-kawaii_1005009121599323</t>
        </is>
      </c>
      <c r="W66" t="inlineStr">
        <is>
          <t>Trousse kawaii Trousse grande capacité organisée (scola | [Marque]</t>
        </is>
      </c>
      <c r="X66" t="inlineStr">
        <is>
          <t>Trousse grande capacité organisée (scola — trousse kawaii |</t>
        </is>
      </c>
      <c r="Y66" t="inlineStr">
        <is>
          <t>Trousse grande capacité organisée (scola : grande capacité, mignonne. Livraison rapide, avis vérifiés. Commandez sur [Marque] !</t>
        </is>
      </c>
      <c r="Z66" s="117" t="inlineStr">
        <is>
          <t>&lt;div class="product-desc"&gt;
  &lt;p&gt;Trousse kawaii &lt;strong&gt;« Trousse grande capacité organisée (scola »&lt;/strong&gt; — grande capacité, mignonne.&lt;/p&gt;
  &lt;p&gt;&lt;strong&gt;La rentrée (ou le bureau) avec style ?&lt;/strong&gt;&lt;/p&gt;
  &lt;h3&gt;✅ Grande capacité, tout bien rangé&lt;/h3&gt;
  &lt;p&gt;De la place pour stylos, feutres et petit matériel, sans que tout se mélange.&lt;/p&gt;
  &lt;h3&gt;✅ Un design kawaii qu'on adore&lt;/h3&gt;
  &lt;p&gt;Mignonne et soignée : elle se remarque à l'école comme au bureau.&lt;/p&gt;
  &lt;h3&gt;✅ Solide au quotidien&lt;/h3&gt;
  &lt;p&gt;Matières et fermeture pensées pour durer toute l'année.&lt;/p&gt;
  &lt;h3&gt;📦 Caractéristiques&lt;/h3&gt;
  &lt;ul&gt;
    &lt;li&gt;&lt;strong&gt;Type :&lt;/strong&gt; Trousse / étui à crayons&lt;/li&gt;
    &lt;li&gt;&lt;strong&gt;Matière :&lt;/strong&gt; Voir variante (tissu, peluche, plastique)&lt;/li&gt;
    &lt;li&gt;&lt;strong&gt;Capacité :&lt;/strong&gt; Grande contenance&lt;/li&gt;
    &lt;li&gt;&lt;strong&gt;Idéal pour :&lt;/strong&gt; École, bureau, cadeau&lt;/li&gt;
  &lt;/ul&gt;
  &lt;h3&gt;❓ Questions fréquentes&lt;/h3&gt;
  &lt;details&gt;&lt;summary&gt;Quelle contenance ?&lt;/summary&gt;&lt;p&gt;Grande capacité : de nombreux stylos et feutres (selon modèle).&lt;/p&gt;&lt;/details&gt;
  &lt;details&gt;&lt;summary&gt;La fermeture tient bien ?&lt;/summary&gt;&lt;p&gt;Nous sélectionnons des modèles bien notés ; vérifiez la variante choisie.&lt;/p&gt;&lt;/details&gt;
  &lt;details&gt;&lt;summary&gt;Bon cadeau de rentrée ?&lt;/summary&gt;&lt;p&gt;Oui, mignon et utile, parfait pour la rentrée ou un anniversaire.&lt;/p&gt;&lt;/details&gt;
  &lt;p&gt;&lt;strong&gt;🛒 Adoptez votre trousse — Livraison offerte dès 39€ d'achat.&lt;/strong&gt;&lt;/p&gt;
&lt;/div&gt;</t>
        </is>
      </c>
    </row>
    <row r="67">
      <c r="A67" s="57" t="inlineStr">
        <is>
          <t>trousse-kawaii-4</t>
        </is>
      </c>
      <c r="B67" s="117" t="inlineStr">
        <is>
          <t>trousse kawaii</t>
        </is>
      </c>
      <c r="C67" s="117" t="inlineStr">
        <is>
          <t>Trousse transparente grande capacité</t>
        </is>
      </c>
      <c r="D67" s="117" t="inlineStr">
        <is>
          <t>https://fr.aliexpress.com/item/1005008248118534.html</t>
        </is>
      </c>
      <c r="E67" s="156" t="n">
        <v>8.390000000000001</v>
      </c>
      <c r="F67" s="156" t="n">
        <v>0</v>
      </c>
      <c r="G67" s="156">
        <f>IF(OR(E67="",F67=""),"",E67+F67)</f>
        <v/>
      </c>
      <c r="H67" s="156">
        <f>IFERROR(VLOOKUP(B67,'Collections'!$C$4:$L$18,10,FALSE),"")</f>
        <v/>
      </c>
      <c r="I67" s="162">
        <f>IFERROR(H67/G67,"")</f>
        <v/>
      </c>
      <c r="J67" s="163" t="n">
        <v>4.9</v>
      </c>
      <c r="K67" s="151" t="n">
        <v>10000</v>
      </c>
      <c r="L67" s="117" t="inlineStr">
        <is>
          <t>Choice — vendeur agrégé</t>
        </is>
      </c>
      <c r="M67" s="117" t="inlineStr">
        <is>
          <t>16-20 juil. (~6-10 j)</t>
        </is>
      </c>
      <c r="N67" s="117" t="inlineStr">
        <is>
          <t>Choice</t>
        </is>
      </c>
      <c r="O67" s="117" t="inlineStr">
        <is>
          <t>Couleur: pencil box S</t>
        </is>
      </c>
      <c r="P67" s="117" t="inlineStr">
        <is>
          <t>Trousse transparente grande capacité — pratique</t>
        </is>
      </c>
      <c r="Q67" s="117" t="inlineStr">
        <is>
          <t>Trousse générique (OK licence), légère. Vérifier finition &amp; fermeture éclair. Marge serrée à 19,90€ pour certaines réf (x3 surtout en lot ≥2).</t>
        </is>
      </c>
      <c r="R67" s="117" t="inlineStr">
        <is>
          <t>Test</t>
        </is>
      </c>
      <c r="S67" s="164" t="n">
        <v>46213</v>
      </c>
      <c r="T67" s="59" t="inlineStr">
        <is>
          <t>AliExpress Choice ; livraison gratuite dès 10€ ; note agrégée ; marge x2,37 à 19,90€ = trop faible (remonter prix ou variante moins chère)</t>
        </is>
      </c>
      <c r="U67" s="117" t="inlineStr">
        <is>
          <t>PACKSHOT — Hero packshot of the pencil case «Trousse transparente grande capacité», centered on clean pastel seamless background, soft shadow, ultra-sharp, soft pastel kawaii brand aesthetic, cohesive palette (blush pink, cream, mint, lilac), 1:1.
LIFESTYLE — Flat-lay of «Trousse transparente grande capacité» open on a cozy desk with cute stationery spilling out, soft light, top-down, soft pastel kawaii brand aesthetic, cohesive palette (blush pink, cream, mint, lilac), 1:1.
EN SITUATION — «Trousse transparente grande capacité» held in a hand / on a school desk, filled with pens, lifestyle, shallow depth of field.
DÉTAIL — Macro of «Trousse transparente grande capacité» fabric texture and zipper, crisp, soft light.
FEATURE — Clean feature image of «Trousse transparente grande capacité» with callouts (large capacity, durable, kawaii), soft pastel kawaii brand aesthetic, cohesive palette (blush pink, cream, mint, lilac), negative space.</t>
        </is>
      </c>
      <c r="V67" t="inlineStr">
        <is>
          <t>.../outputs/coloriage-kawaii-arborescence-2026-07-09/images_produits/67_trousse-kawaii_1005008248118534</t>
        </is>
      </c>
      <c r="W67" t="inlineStr">
        <is>
          <t>Trousse kawaii Trousse transparente grande capacité | [Marque]</t>
        </is>
      </c>
      <c r="X67" t="inlineStr">
        <is>
          <t>Trousse transparente grande capacité — trousse kawaii | [Ma</t>
        </is>
      </c>
      <c r="Y67" t="inlineStr">
        <is>
          <t>Trousse transparente grande capacité : grande capacité, mignonne. Livraison rapide, avis vérifiés. Commandez sur [Marque] !</t>
        </is>
      </c>
      <c r="Z67" s="117" t="inlineStr">
        <is>
          <t>&lt;div class="product-desc"&gt;
  &lt;p&gt;Trousse kawaii &lt;strong&gt;« Trousse transparente grande capacité »&lt;/strong&gt; — grande capacité, mignonne.&lt;/p&gt;
  &lt;p&gt;&lt;strong&gt;Marre des trousses qui débordent et s'abîment ?&lt;/strong&gt;&lt;/p&gt;
  &lt;h3&gt;✅ Grande capacité, tout bien rangé&lt;/h3&gt;
  &lt;p&gt;De la place pour stylos, feutres et petit matériel, sans que tout se mélange.&lt;/p&gt;
  &lt;h3&gt;✅ Un design kawaii qu'on adore&lt;/h3&gt;
  &lt;p&gt;Mignonne et soignée : elle se remarque à l'école comme au bureau.&lt;/p&gt;
  &lt;h3&gt;✅ Solide au quotidien&lt;/h3&gt;
  &lt;p&gt;Matières et fermeture pensées pour durer toute l'année.&lt;/p&gt;
  &lt;h3&gt;📦 Caractéristiques&lt;/h3&gt;
  &lt;ul&gt;
    &lt;li&gt;&lt;strong&gt;Type :&lt;/strong&gt; Trousse / étui à crayons&lt;/li&gt;
    &lt;li&gt;&lt;strong&gt;Matière :&lt;/strong&gt; Voir variante (tissu, peluche, plastique)&lt;/li&gt;
    &lt;li&gt;&lt;strong&gt;Capacité :&lt;/strong&gt; Grande contenance&lt;/li&gt;
    &lt;li&gt;&lt;strong&gt;Idéal pour :&lt;/strong&gt; École, bureau, cadeau&lt;/li&gt;
  &lt;/ul&gt;
  &lt;h3&gt;❓ Questions fréquentes&lt;/h3&gt;
  &lt;details&gt;&lt;summary&gt;Quelle contenance ?&lt;/summary&gt;&lt;p&gt;Grande capacité : de nombreux stylos et feutres (selon modèle).&lt;/p&gt;&lt;/details&gt;
  &lt;details&gt;&lt;summary&gt;La fermeture tient bien ?&lt;/summary&gt;&lt;p&gt;Nous sélectionnons des modèles bien notés ; vérifiez la variante choisie.&lt;/p&gt;&lt;/details&gt;
  &lt;details&gt;&lt;summary&gt;Bon cadeau de rentrée ?&lt;/summary&gt;&lt;p&gt;Oui, mignon et utile, parfait pour la rentrée ou un anniversaire.&lt;/p&gt;&lt;/details&gt;
  &lt;p&gt;&lt;strong&gt;🛒 Adoptez votre trousse — Livraison offerte dès 39€ d'achat.&lt;/strong&gt;&lt;/p&gt;
&lt;/div&gt;</t>
        </is>
      </c>
    </row>
    <row r="68">
      <c r="A68" s="57" t="inlineStr">
        <is>
          <t>trousse-kawaii-5</t>
        </is>
      </c>
      <c r="B68" s="117" t="inlineStr">
        <is>
          <t>trousse kawaii</t>
        </is>
      </c>
      <c r="C68" s="117" t="inlineStr">
        <is>
          <t>Étui à crayons cuir vintage minimaliste</t>
        </is>
      </c>
      <c r="D68" s="117" t="inlineStr">
        <is>
          <t>https://fr.aliexpress.com/item/1005007038534218.html</t>
        </is>
      </c>
      <c r="E68" s="156" t="n">
        <v>6.39</v>
      </c>
      <c r="F68" s="156" t="n">
        <v>0</v>
      </c>
      <c r="G68" s="156">
        <f>IF(OR(E68="",F68=""),"",E68+F68)</f>
        <v/>
      </c>
      <c r="H68" s="156">
        <f>IFERROR(VLOOKUP(B68,'Collections'!$C$4:$L$18,10,FALSE),"")</f>
        <v/>
      </c>
      <c r="I68" s="162">
        <f>IFERROR(H68/G68,"")</f>
        <v/>
      </c>
      <c r="J68" s="163" t="n">
        <v>4.9</v>
      </c>
      <c r="K68" s="151" t="n">
        <v>10000</v>
      </c>
      <c r="L68" s="117" t="inlineStr">
        <is>
          <t>Choice — vendeur agrégé</t>
        </is>
      </c>
      <c r="M68" s="117" t="inlineStr">
        <is>
          <t>16-22 juil. (~6-12 j)</t>
        </is>
      </c>
      <c r="N68" s="117" t="inlineStr">
        <is>
          <t>Choice</t>
        </is>
      </c>
      <c r="O68" s="117" t="inlineStr">
        <is>
          <t>Couleur: Coffee</t>
        </is>
      </c>
      <c r="P68" s="117" t="inlineStr">
        <is>
          <t>Étui à crayons cuir vintage — minimaliste chic</t>
        </is>
      </c>
      <c r="Q68" s="117" t="inlineStr">
        <is>
          <t>Trousse générique (OK licence), légère. Vérifier finition &amp; fermeture éclair. Marge serrée à 19,90€ pour certaines réf (x3 surtout en lot ≥2).</t>
        </is>
      </c>
      <c r="R68" s="117" t="inlineStr">
        <is>
          <t>Retenir</t>
        </is>
      </c>
      <c r="S68" s="164" t="n">
        <v>46213</v>
      </c>
      <c r="T68" s="59" t="inlineStr">
        <is>
          <t>AliExpress Choice ; livraison gratuite dès 10€ ; note agrégée ; marge x3,1</t>
        </is>
      </c>
      <c r="U68" s="117" t="inlineStr">
        <is>
          <t>PACKSHOT — Hero packshot of the pencil case «Étui à crayons cuir vintage minimaliste», centered on clean pastel seamless background, soft shadow, ultra-sharp, soft pastel kawaii brand aesthetic, cohesive palette (blush pink, cream, mint, lilac), 1:1.
LIFESTYLE — Flat-lay of «Étui à crayons cuir vintage minimaliste» open on a cozy desk with cute stationery spilling out, soft light, top-down, soft pastel kawaii brand aesthetic, cohesive palette (blush pink, cream, mint, lilac), 1:1.
EN SITUATION — «Étui à crayons cuir vintage minimaliste» held in a hand / on a school desk, filled with pens, lifestyle, shallow depth of field.
DÉTAIL — Macro of «Étui à crayons cuir vintage minimaliste» fabric texture and zipper, crisp, soft light.
FEATURE — Clean feature image of «Étui à crayons cuir vintage minimaliste» with callouts (large capacity, durable, kawaii), soft pastel kawaii brand aesthetic, cohesive palette (blush pink, cream, mint, lilac), negative space.</t>
        </is>
      </c>
      <c r="V68" t="inlineStr">
        <is>
          <t>.../outputs/coloriage-kawaii-arborescence-2026-07-09/images_produits/68_trousse-kawaii_1005007038534218</t>
        </is>
      </c>
      <c r="W68" t="inlineStr">
        <is>
          <t>Trousse kawaii Étui à crayons cuir vintage minimaliste | [Marque]</t>
        </is>
      </c>
      <c r="X68" t="inlineStr">
        <is>
          <t xml:space="preserve">Étui à crayons cuir vintage minimaliste — trousse kawaii | </t>
        </is>
      </c>
      <c r="Y68" t="inlineStr">
        <is>
          <t>Étui à crayons cuir vintage minimaliste : grande capacité, mignonne. Livraison rapide, avis vérifiés. Commandez sur [Marque] !</t>
        </is>
      </c>
      <c r="Z68" s="117" t="inlineStr">
        <is>
          <t>&lt;div class="product-desc"&gt;
  &lt;p&gt;Trousse kawaii &lt;strong&gt;« Étui à crayons cuir vintage minimaliste »&lt;/strong&gt; — grande capacité, mignonne.&lt;/p&gt;
  &lt;p&gt;&lt;strong&gt;Une trousse aussi mignonne que pratique ?&lt;/strong&gt;&lt;/p&gt;
  &lt;h3&gt;✅ Grande capacité, tout bien rangé&lt;/h3&gt;
  &lt;p&gt;De la place pour stylos, feutres et petit matériel, sans que tout se mélange.&lt;/p&gt;
  &lt;h3&gt;✅ Un design kawaii qu'on adore&lt;/h3&gt;
  &lt;p&gt;Mignonne et soignée : elle se remarque à l'école comme au bureau.&lt;/p&gt;
  &lt;h3&gt;✅ Solide au quotidien&lt;/h3&gt;
  &lt;p&gt;Matières et fermeture pensées pour durer toute l'année.&lt;/p&gt;
  &lt;h3&gt;📦 Caractéristiques&lt;/h3&gt;
  &lt;ul&gt;
    &lt;li&gt;&lt;strong&gt;Type :&lt;/strong&gt; Trousse / étui à crayons&lt;/li&gt;
    &lt;li&gt;&lt;strong&gt;Matière :&lt;/strong&gt; Voir variante (tissu, peluche, plastique)&lt;/li&gt;
    &lt;li&gt;&lt;strong&gt;Capacité :&lt;/strong&gt; Grande contenance&lt;/li&gt;
    &lt;li&gt;&lt;strong&gt;Idéal pour :&lt;/strong&gt; École, bureau, cadeau&lt;/li&gt;
  &lt;/ul&gt;
  &lt;h3&gt;❓ Questions fréquentes&lt;/h3&gt;
  &lt;details&gt;&lt;summary&gt;Quelle contenance ?&lt;/summary&gt;&lt;p&gt;Grande capacité : de nombreux stylos et feutres (selon modèle).&lt;/p&gt;&lt;/details&gt;
  &lt;details&gt;&lt;summary&gt;La fermeture tient bien ?&lt;/summary&gt;&lt;p&gt;Nous sélectionnons des modèles bien notés ; vérifiez la variante choisie.&lt;/p&gt;&lt;/details&gt;
  &lt;details&gt;&lt;summary&gt;Bon cadeau de rentrée ?&lt;/summary&gt;&lt;p&gt;Oui, mignon et utile, parfait pour la rentrée ou un anniversaire.&lt;/p&gt;&lt;/details&gt;
  &lt;p&gt;&lt;strong&gt;🛒 Adoptez votre trousse — Livraison offerte dès 39€ d'achat.&lt;/strong&gt;&lt;/p&gt;
&lt;/div&gt;</t>
        </is>
      </c>
    </row>
    <row r="69">
      <c r="A69" s="57" t="inlineStr">
        <is>
          <t>marque-page-personnalise-1</t>
        </is>
      </c>
      <c r="B69" s="117" t="inlineStr">
        <is>
          <t>marque page personnalisé</t>
        </is>
      </c>
      <c r="C69" s="117" t="inlineStr">
        <is>
          <t>Marque-page métal 'personnalisé' (design cadeau)</t>
        </is>
      </c>
      <c r="D69" s="117" t="inlineStr">
        <is>
          <t>https://fr.aliexpress.com/item/1005007607181134.html</t>
        </is>
      </c>
      <c r="E69" s="156" t="n">
        <v>4.89</v>
      </c>
      <c r="F69" s="156" t="n">
        <v>0</v>
      </c>
      <c r="G69" s="156">
        <f>IF(OR(E69="",F69=""),"",E69+F69)</f>
        <v/>
      </c>
      <c r="H69" s="156">
        <f>IFERROR(VLOOKUP(B69,'Collections'!$C$4:$L$18,10,FALSE),"")</f>
        <v/>
      </c>
      <c r="I69" s="162">
        <f>IFERROR(H69/G69,"")</f>
        <v/>
      </c>
      <c r="J69" s="163" t="n">
        <v>5</v>
      </c>
      <c r="K69" s="151" t="n">
        <v>110</v>
      </c>
      <c r="L69" s="117" t="inlineStr">
        <is>
          <t>Choice — vendeur agrégé</t>
        </is>
      </c>
      <c r="M69" s="117" t="inlineStr">
        <is>
          <t>18-22 juil. (~8-12 j)</t>
        </is>
      </c>
      <c r="N69" s="117" t="inlineStr">
        <is>
          <t>Choice</t>
        </is>
      </c>
      <c r="O69" s="117" t="inlineStr">
        <is>
          <t>Couleur: SQ1588</t>
        </is>
      </c>
      <c r="P69" s="117" t="inlineStr">
        <is>
          <t>Marque-page métal design cadeau — lecteur</t>
        </is>
      </c>
      <c r="Q69" s="117" t="inlineStr">
        <is>
          <t>Marque-page métal/résine, léger. ATTENTION 'personnalisé' = choix de designs (variante SQxxxx), PAS d'envoi de texte custom visible sur la fiche → si offre 'gravure prénom', VALIDER process (texte/BAT/MOQ/délai) avec le fournisseur.</t>
        </is>
      </c>
      <c r="R69" s="117" t="inlineStr">
        <is>
          <t>Retenir</t>
        </is>
      </c>
      <c r="S69" s="164" t="n">
        <v>46213</v>
      </c>
      <c r="T69" s="59" t="inlineStr">
        <is>
          <t>AliExpress Choice ; livraison gratuite dès 10€ ; note agrégée ; marge x3,0</t>
        </is>
      </c>
      <c r="U69" s="117" t="inlineStr">
        <is>
          <t>PACKSHOT — Hero packshot of the bookmark «Marque-page métal 'personnalisé' (design cadeau)» (metal/resin), centered on clean pastel seamless background, soft shadow, ultra-sharp, soft pastel kawaii brand aesthetic, cohesive palette (blush pink, cream, mint, lilac), 1:1.
LIFESTYLE — Flat-lay of «Marque-page métal 'personnalisé' (design cadeau)» resting on an open book with dried flowers and a warm drink, soft light, top-down, soft pastel kawaii brand aesthetic, cohesive palette (blush pink, cream, mint, lilac), 1:1.
EN SITUATION — «Marque-page métal 'personnalisé' (design cadeau)» tucked into a book held by a hand, cozy reading nook, shallow depth of field.
DÉTAIL — Macro of «Marque-page métal 'personnalisé' (design cadeau)» engraving / resin detail, crisp, soft reflective light.
FEATURE — Clean feature image of «Marque-page métal 'personnalisé' (design cadeau)» presented as a gift (with a small pouch), soft pastel kawaii brand aesthetic, cohesive palette (blush pink, cream, mint, lilac), negative space.</t>
        </is>
      </c>
      <c r="V69" t="inlineStr">
        <is>
          <t>.../outputs/coloriage-kawaii-arborescence-2026-07-09/images_produits/69_marque-page-personnalise_1005007607181134</t>
        </is>
      </c>
      <c r="W69" t="inlineStr">
        <is>
          <t>Marque-page Marque-page métal 'personnalisé' (design | [Marque]</t>
        </is>
      </c>
      <c r="X69" t="inlineStr">
        <is>
          <t>Marque-page métal 'personnalisé' (design — marque-page | [M</t>
        </is>
      </c>
      <c r="Y69" t="inlineStr">
        <is>
          <t>Marque-page métal 'personnalisé' (design : élégant, cadeau lecteur. Livraison rapide, avis vérifiés. Commandez sur [Marque] !</t>
        </is>
      </c>
      <c r="Z69" s="117" t="inlineStr">
        <is>
          <t>&lt;div class="product-desc"&gt;
  &lt;p&gt;Marque-page &lt;strong&gt;« Marque-page métal 'personnalisé' (design »&lt;/strong&gt; — élégant, cadeau lecteur.&lt;/p&gt;
  &lt;p&gt;&lt;strong&gt;Vous ne retrouvez jamais votre page ?&lt;/strong&gt;&lt;/p&gt;
  &lt;h3&gt;✅ Élégant et durable&lt;/h3&gt;
  &lt;p&gt;En métal (ou résine) : bien plus chic et résistant qu'un marque-page en papier.&lt;/p&gt;
  &lt;h3&gt;✅ Le cadeau lecteur idéal&lt;/h3&gt;
  &lt;p&gt;Petit prix, grand effet : parfait pour offrir à un rat de bibliothèque.&lt;/p&gt;
  &lt;h3&gt;✅ Un design soigné&lt;/h3&gt;
  &lt;p&gt;Finitions nettes, gravure ou motif travaillé : un bel objet du quotidien.&lt;/p&gt;
  &lt;h3&gt;📦 Caractéristiques&lt;/h3&gt;
  &lt;ul&gt;
    &lt;li&gt;&lt;strong&gt;Type :&lt;/strong&gt; Marque-page métal / résine&lt;/li&gt;
    &lt;li&gt;&lt;strong&gt;Design :&lt;/strong&gt; Voir variante&lt;/li&gt;
    &lt;li&gt;&lt;strong&gt;Format :&lt;/strong&gt; Léger, glisse dans tout livre&lt;/li&gt;
    &lt;li&gt;&lt;strong&gt;Idéal pour :&lt;/strong&gt; Cadeau, lecture&lt;/li&gt;
  &lt;/ul&gt;
  &lt;h3&gt;❓ Questions fréquentes&lt;/h3&gt;
  &lt;details&gt;&lt;summary&gt;Est-ce personnalisable avec un texte ?&lt;/summary&gt;&lt;p&gt;Certaines variantes proposent des designs ; pour une gravure prénom, la faisabilité dépend du modèle — à confirmer.&lt;/p&gt;&lt;/details&gt;
  &lt;details&gt;&lt;summary&gt;Ça abîme les pages ?&lt;/summary&gt;&lt;p&gt;Non, le format est fin et lisse ; il se glisse sans marquer les pages.&lt;/p&gt;&lt;/details&gt;
  &lt;details&gt;&lt;summary&gt;Bon cadeau ?&lt;/summary&gt;&lt;p&gt;Oui, idéal pour tout amateur de lecture, à petit budget.&lt;/p&gt;&lt;/details&gt;
  &lt;p&gt;&lt;strong&gt;🛒 Offrez ce marque-page — Livraison offerte dès 39€ d'achat.&lt;/strong&gt;&lt;/p&gt;
&lt;/div&gt;</t>
        </is>
      </c>
    </row>
    <row r="70">
      <c r="A70" s="57" t="inlineStr">
        <is>
          <t>marque-page-personnalise-2</t>
        </is>
      </c>
      <c r="B70" s="117" t="inlineStr">
        <is>
          <t>marque page personnalisé</t>
        </is>
      </c>
      <c r="C70" s="117" t="inlineStr">
        <is>
          <t>Marque-page inox élégant (cadeau lecteur)</t>
        </is>
      </c>
      <c r="D70" s="117" t="inlineStr">
        <is>
          <t>https://fr.aliexpress.com/item/1005010455899685.html</t>
        </is>
      </c>
      <c r="E70" s="156" t="n">
        <v>6.69</v>
      </c>
      <c r="F70" s="156" t="n">
        <v>0</v>
      </c>
      <c r="G70" s="156">
        <f>IF(OR(E70="",F70=""),"",E70+F70)</f>
        <v/>
      </c>
      <c r="H70" s="156">
        <f>IFERROR(VLOOKUP(B70,'Collections'!$C$4:$L$18,10,FALSE),"")</f>
        <v/>
      </c>
      <c r="I70" s="162">
        <f>IFERROR(H70/G70,"")</f>
        <v/>
      </c>
      <c r="J70" s="163" t="n">
        <v>4.5</v>
      </c>
      <c r="K70" s="151" t="n">
        <v>78</v>
      </c>
      <c r="L70" s="117" t="inlineStr">
        <is>
          <t>Choice — vendeur agrégé</t>
        </is>
      </c>
      <c r="M70" s="117" t="inlineStr">
        <is>
          <t>18-22 juil. (~8-12 j)</t>
        </is>
      </c>
      <c r="N70" s="117" t="inlineStr">
        <is>
          <t>Choice</t>
        </is>
      </c>
      <c r="O70" s="117" t="inlineStr">
        <is>
          <t>Couleur: GRIS</t>
        </is>
      </c>
      <c r="P70" s="117" t="inlineStr">
        <is>
          <t>Marque-page inox élégant — cadeau lecteur</t>
        </is>
      </c>
      <c r="Q70" s="117" t="inlineStr">
        <is>
          <t>Marque-page métal/résine, léger. ATTENTION 'personnalisé' = choix de designs (variante SQxxxx), PAS d'envoi de texte custom visible sur la fiche → si offre 'gravure prénom', VALIDER process (texte/BAT/MOQ/délai) avec le fournisseur.</t>
        </is>
      </c>
      <c r="R70" s="117" t="inlineStr">
        <is>
          <t>Retenir</t>
        </is>
      </c>
      <c r="S70" s="164" t="n">
        <v>46213</v>
      </c>
      <c r="T70" s="59" t="inlineStr">
        <is>
          <t>AliExpress Choice ; livraison gratuite dès 10€ ; note agrégée ; marge x2,2 à 14,90€ = faible (remonter prix)</t>
        </is>
      </c>
      <c r="U70" s="117" t="inlineStr">
        <is>
          <t>PACKSHOT — Hero packshot of the bookmark «Marque-page inox élégant (cadeau lecteur)» (metal/resin), centered on clean pastel seamless background, soft shadow, ultra-sharp, soft pastel kawaii brand aesthetic, cohesive palette (blush pink, cream, mint, lilac), 1:1.
LIFESTYLE — Flat-lay of «Marque-page inox élégant (cadeau lecteur)» resting on an open book with dried flowers and a warm drink, soft light, top-down, soft pastel kawaii brand aesthetic, cohesive palette (blush pink, cream, mint, lilac), 1:1.
EN SITUATION — «Marque-page inox élégant (cadeau lecteur)» tucked into a book held by a hand, cozy reading nook, shallow depth of field.
DÉTAIL — Macro of «Marque-page inox élégant (cadeau lecteur)» engraving / resin detail, crisp, soft reflective light.
FEATURE — Clean feature image of «Marque-page inox élégant (cadeau lecteur)» presented as a gift (with a small pouch), soft pastel kawaii brand aesthetic, cohesive palette (blush pink, cream, mint, lilac), negative space.</t>
        </is>
      </c>
      <c r="V70" t="inlineStr">
        <is>
          <t>.../outputs/coloriage-kawaii-arborescence-2026-07-09/images_produits/70_marque-page-personnalise_1005010455899685</t>
        </is>
      </c>
      <c r="W70" t="inlineStr">
        <is>
          <t>Marque-page Marque-page inox élégant (cadeau lecteur | [Marque]</t>
        </is>
      </c>
      <c r="X70" t="inlineStr">
        <is>
          <t>Marque-page inox élégant (cadeau lecteur — marque-page | [M</t>
        </is>
      </c>
      <c r="Y70" t="inlineStr">
        <is>
          <t>Marque-page inox élégant (cadeau lecteur : élégant, cadeau lecteur. Livraison rapide, avis vérifiés. Commandez sur [Marque] !</t>
        </is>
      </c>
      <c r="Z70" s="117" t="inlineStr">
        <is>
          <t>&lt;div class="product-desc"&gt;
  &lt;p&gt;Marque-page &lt;strong&gt;« Marque-page inox élégant (cadeau lecteur »&lt;/strong&gt; — élégant, cadeau lecteur.&lt;/p&gt;
  &lt;p&gt;&lt;strong&gt;Le cadeau parfait pour un(e) passionné(e) de lecture ?&lt;/strong&gt;&lt;/p&gt;
  &lt;h3&gt;✅ Élégant et durable&lt;/h3&gt;
  &lt;p&gt;En métal (ou résine) : bien plus chic et résistant qu'un marque-page en papier.&lt;/p&gt;
  &lt;h3&gt;✅ Le cadeau lecteur idéal&lt;/h3&gt;
  &lt;p&gt;Petit prix, grand effet : parfait pour offrir à un rat de bibliothèque.&lt;/p&gt;
  &lt;h3&gt;✅ Un design soigné&lt;/h3&gt;
  &lt;p&gt;Finitions nettes, gravure ou motif travaillé : un bel objet du quotidien.&lt;/p&gt;
  &lt;h3&gt;📦 Caractéristiques&lt;/h3&gt;
  &lt;ul&gt;
    &lt;li&gt;&lt;strong&gt;Type :&lt;/strong&gt; Marque-page métal / résine&lt;/li&gt;
    &lt;li&gt;&lt;strong&gt;Design :&lt;/strong&gt; Voir variante&lt;/li&gt;
    &lt;li&gt;&lt;strong&gt;Format :&lt;/strong&gt; Léger, glisse dans tout livre&lt;/li&gt;
    &lt;li&gt;&lt;strong&gt;Idéal pour :&lt;/strong&gt; Cadeau, lecture&lt;/li&gt;
  &lt;/ul&gt;
  &lt;h3&gt;❓ Questions fréquentes&lt;/h3&gt;
  &lt;details&gt;&lt;summary&gt;Est-ce personnalisable avec un texte ?&lt;/summary&gt;&lt;p&gt;Certaines variantes proposent des designs ; pour une gravure prénom, la faisabilité dépend du modèle — à confirmer.&lt;/p&gt;&lt;/details&gt;
  &lt;details&gt;&lt;summary&gt;Ça abîme les pages ?&lt;/summary&gt;&lt;p&gt;Non, le format est fin et lisse ; il se glisse sans marquer les pages.&lt;/p&gt;&lt;/details&gt;
  &lt;details&gt;&lt;summary&gt;Bon cadeau ?&lt;/summary&gt;&lt;p&gt;Oui, idéal pour tout amateur de lecture, à petit budget.&lt;/p&gt;&lt;/details&gt;
  &lt;p&gt;&lt;strong&gt;🛒 Offrez ce marque-page — Livraison offerte dès 39€ d'achat.&lt;/strong&gt;&lt;/p&gt;
&lt;/div&gt;</t>
        </is>
      </c>
    </row>
    <row r="71">
      <c r="A71" s="57" t="inlineStr">
        <is>
          <t>marque-page-personnalise-3</t>
        </is>
      </c>
      <c r="B71" s="117" t="inlineStr">
        <is>
          <t>marque page personnalisé</t>
        </is>
      </c>
      <c r="C71" s="117" t="inlineStr">
        <is>
          <t>Marque-page inox gravé citation (chic)</t>
        </is>
      </c>
      <c r="D71" s="117" t="inlineStr">
        <is>
          <t>https://fr.aliexpress.com/item/1005007674988661.html</t>
        </is>
      </c>
      <c r="E71" s="156" t="n">
        <v>5.09</v>
      </c>
      <c r="F71" s="156" t="n">
        <v>0</v>
      </c>
      <c r="G71" s="156">
        <f>IF(OR(E71="",F71=""),"",E71+F71)</f>
        <v/>
      </c>
      <c r="H71" s="156">
        <f>IFERROR(VLOOKUP(B71,'Collections'!$C$4:$L$18,10,FALSE),"")</f>
        <v/>
      </c>
      <c r="I71" s="162">
        <f>IFERROR(H71/G71,"")</f>
        <v/>
      </c>
      <c r="J71" s="163" t="n">
        <v>4.9</v>
      </c>
      <c r="K71" s="151" t="n">
        <v>189</v>
      </c>
      <c r="L71" s="117" t="inlineStr">
        <is>
          <t>Choice — vendeur agrégé</t>
        </is>
      </c>
      <c r="M71" s="117" t="inlineStr">
        <is>
          <t>18-22 juil. (~8-12 j)</t>
        </is>
      </c>
      <c r="N71" s="117" t="inlineStr">
        <is>
          <t>Choice</t>
        </is>
      </c>
      <c r="O71" s="117" t="inlineStr">
        <is>
          <t>Couleur: SQ1598</t>
        </is>
      </c>
      <c r="P71" s="117" t="inlineStr">
        <is>
          <t>Marque-page inox gravé citation — chic</t>
        </is>
      </c>
      <c r="Q71" s="117" t="inlineStr">
        <is>
          <t>Marque-page métal/résine, léger. ATTENTION 'personnalisé' = choix de designs (variante SQxxxx), PAS d'envoi de texte custom visible sur la fiche → si offre 'gravure prénom', VALIDER process (texte/BAT/MOQ/délai) avec le fournisseur.</t>
        </is>
      </c>
      <c r="R71" s="117" t="inlineStr">
        <is>
          <t>Retenir</t>
        </is>
      </c>
      <c r="S71" s="164" t="n">
        <v>46213</v>
      </c>
      <c r="T71" s="59" t="inlineStr">
        <is>
          <t>AliExpress Choice ; livraison gratuite dès 10€ ; note agrégée ; marge x2,9 (x3+ lot)</t>
        </is>
      </c>
      <c r="U71" s="117" t="inlineStr">
        <is>
          <t>PACKSHOT — Hero packshot of the bookmark «Marque-page inox gravé citation (chic)» (metal/resin), centered on clean pastel seamless background, soft shadow, ultra-sharp, soft pastel kawaii brand aesthetic, cohesive palette (blush pink, cream, mint, lilac), 1:1.
LIFESTYLE — Flat-lay of «Marque-page inox gravé citation (chic)» resting on an open book with dried flowers and a warm drink, soft light, top-down, soft pastel kawaii brand aesthetic, cohesive palette (blush pink, cream, mint, lilac), 1:1.
EN SITUATION — «Marque-page inox gravé citation (chic)» tucked into a book held by a hand, cozy reading nook, shallow depth of field.
DÉTAIL — Macro of «Marque-page inox gravé citation (chic)» engraving / resin detail, crisp, soft reflective light.
FEATURE — Clean feature image of «Marque-page inox gravé citation (chic)» presented as a gift (with a small pouch), soft pastel kawaii brand aesthetic, cohesive palette (blush pink, cream, mint, lilac), negative space.</t>
        </is>
      </c>
      <c r="V71" t="inlineStr">
        <is>
          <t>.../outputs/coloriage-kawaii-arborescence-2026-07-09/images_produits/71_marque-page-personnalise_1005007674988661</t>
        </is>
      </c>
      <c r="W71" t="inlineStr">
        <is>
          <t>Marque-page Marque-page inox gravé citation (chic) | [Marque]</t>
        </is>
      </c>
      <c r="X71" t="inlineStr">
        <is>
          <t>Marque-page inox gravé citation (chic) — marque-page | [Mar</t>
        </is>
      </c>
      <c r="Y71" t="inlineStr">
        <is>
          <t>Marque-page inox gravé citation (chic) : élégant, cadeau lecteur. Livraison rapide, avis vérifiés. Commandez sur [Marque] !</t>
        </is>
      </c>
      <c r="Z71" s="117" t="inlineStr">
        <is>
          <t>&lt;div class="product-desc"&gt;
  &lt;p&gt;Marque-page &lt;strong&gt;« Marque-page inox gravé citation (chic) »&lt;/strong&gt; — élégant, cadeau lecteur.&lt;/p&gt;
  &lt;p&gt;&lt;strong&gt;Envie d'un marque-page qui a du style ?&lt;/strong&gt;&lt;/p&gt;
  &lt;h3&gt;✅ Élégant et durable&lt;/h3&gt;
  &lt;p&gt;En métal (ou résine) : bien plus chic et résistant qu'un marque-page en papier.&lt;/p&gt;
  &lt;h3&gt;✅ Le cadeau lecteur idéal&lt;/h3&gt;
  &lt;p&gt;Petit prix, grand effet : parfait pour offrir à un rat de bibliothèque.&lt;/p&gt;
  &lt;h3&gt;✅ Un design soigné&lt;/h3&gt;
  &lt;p&gt;Finitions nettes, gravure ou motif travaillé : un bel objet du quotidien.&lt;/p&gt;
  &lt;h3&gt;📦 Caractéristiques&lt;/h3&gt;
  &lt;ul&gt;
    &lt;li&gt;&lt;strong&gt;Type :&lt;/strong&gt; Marque-page métal / résine&lt;/li&gt;
    &lt;li&gt;&lt;strong&gt;Design :&lt;/strong&gt; Voir variante&lt;/li&gt;
    &lt;li&gt;&lt;strong&gt;Format :&lt;/strong&gt; Léger, glisse dans tout livre&lt;/li&gt;
    &lt;li&gt;&lt;strong&gt;Idéal pour :&lt;/strong&gt; Cadeau, lecture&lt;/li&gt;
  &lt;/ul&gt;
  &lt;h3&gt;❓ Questions fréquentes&lt;/h3&gt;
  &lt;details&gt;&lt;summary&gt;Est-ce personnalisable avec un texte ?&lt;/summary&gt;&lt;p&gt;Certaines variantes proposent des designs ; pour une gravure prénom, la faisabilité dépend du modèle — à confirmer.&lt;/p&gt;&lt;/details&gt;
  &lt;details&gt;&lt;summary&gt;Ça abîme les pages ?&lt;/summary&gt;&lt;p&gt;Non, le format est fin et lisse ; il se glisse sans marquer les pages.&lt;/p&gt;&lt;/details&gt;
  &lt;details&gt;&lt;summary&gt;Bon cadeau ?&lt;/summary&gt;&lt;p&gt;Oui, idéal pour tout amateur de lecture, à petit budget.&lt;/p&gt;&lt;/details&gt;
  &lt;p&gt;&lt;strong&gt;🛒 Offrez ce marque-page — Livraison offerte dès 39€ d'achat.&lt;/strong&gt;&lt;/p&gt;
&lt;/div&gt;</t>
        </is>
      </c>
    </row>
    <row r="72">
      <c r="A72" s="57" t="inlineStr">
        <is>
          <t>marque-page-personnalise-4</t>
        </is>
      </c>
      <c r="B72" s="117" t="inlineStr">
        <is>
          <t>marque page personnalisé</t>
        </is>
      </c>
      <c r="C72" s="117" t="inlineStr">
        <is>
          <t>Marque-pages métal créatifs (variés)</t>
        </is>
      </c>
      <c r="D72" s="117" t="inlineStr">
        <is>
          <t>https://fr.aliexpress.com/item/1005006851898650.html</t>
        </is>
      </c>
      <c r="E72" s="156" t="n">
        <v>5.39</v>
      </c>
      <c r="F72" s="156" t="n">
        <v>0</v>
      </c>
      <c r="G72" s="156">
        <f>IF(OR(E72="",F72=""),"",E72+F72)</f>
        <v/>
      </c>
      <c r="H72" s="156">
        <f>IFERROR(VLOOKUP(B72,'Collections'!$C$4:$L$18,10,FALSE),"")</f>
        <v/>
      </c>
      <c r="I72" s="162">
        <f>IFERROR(H72/G72,"")</f>
        <v/>
      </c>
      <c r="J72" s="163" t="n">
        <v>4.8</v>
      </c>
      <c r="K72" s="151" t="n">
        <v>215</v>
      </c>
      <c r="L72" s="117" t="inlineStr">
        <is>
          <t>Choice — vendeur agrégé</t>
        </is>
      </c>
      <c r="M72" s="117" t="inlineStr">
        <is>
          <t>18-22 juil. (~8-12 j)</t>
        </is>
      </c>
      <c r="N72" s="117" t="inlineStr">
        <is>
          <t>Choice</t>
        </is>
      </c>
      <c r="O72" s="117" t="inlineStr">
        <is>
          <t>Couleur: SQ0420</t>
        </is>
      </c>
      <c r="P72" s="117" t="inlineStr">
        <is>
          <t>Marque-pages métal créatifs — designs variés</t>
        </is>
      </c>
      <c r="Q72" s="117" t="inlineStr">
        <is>
          <t>Marque-page métal/résine, léger. ATTENTION 'personnalisé' = choix de designs (variante SQxxxx), PAS d'envoi de texte custom visible sur la fiche → si offre 'gravure prénom', VALIDER process (texte/BAT/MOQ/délai) avec le fournisseur.</t>
        </is>
      </c>
      <c r="R72" s="117" t="inlineStr">
        <is>
          <t>Retenir</t>
        </is>
      </c>
      <c r="S72" s="164" t="n">
        <v>46213</v>
      </c>
      <c r="T72" s="59" t="inlineStr">
        <is>
          <t>AliExpress Choice ; livraison gratuite dès 10€ ; note agrégée ; marge x2,8 (x3+ lot)</t>
        </is>
      </c>
      <c r="U72" s="117" t="inlineStr">
        <is>
          <t>PACKSHOT — Hero packshot of the bookmark «Marque-pages métal créatifs (variés)» (metal/resin), centered on clean pastel seamless background, soft shadow, ultra-sharp, soft pastel kawaii brand aesthetic, cohesive palette (blush pink, cream, mint, lilac), 1:1.
LIFESTYLE — Flat-lay of «Marque-pages métal créatifs (variés)» resting on an open book with dried flowers and a warm drink, soft light, top-down, soft pastel kawaii brand aesthetic, cohesive palette (blush pink, cream, mint, lilac), 1:1.
EN SITUATION — «Marque-pages métal créatifs (variés)» tucked into a book held by a hand, cozy reading nook, shallow depth of field.
DÉTAIL — Macro of «Marque-pages métal créatifs (variés)» engraving / resin detail, crisp, soft reflective light.
FEATURE — Clean feature image of «Marque-pages métal créatifs (variés)» presented as a gift (with a small pouch), soft pastel kawaii brand aesthetic, cohesive palette (blush pink, cream, mint, lilac), negative space.</t>
        </is>
      </c>
      <c r="V72" t="inlineStr">
        <is>
          <t>.../outputs/coloriage-kawaii-arborescence-2026-07-09/images_produits/72_marque-page-personnalise_1005006851898650</t>
        </is>
      </c>
      <c r="W72" t="inlineStr">
        <is>
          <t>Marque-page Marque-pages métal créatifs (variés) | [Marque]</t>
        </is>
      </c>
      <c r="X72" t="inlineStr">
        <is>
          <t>Marque-pages métal créatifs (variés) — marque-page | [Marqu</t>
        </is>
      </c>
      <c r="Y72" t="inlineStr">
        <is>
          <t>Marque-pages métal créatifs (variés) : élégant, cadeau lecteur. Livraison rapide, avis vérifiés. Commandez sur [Marque] !</t>
        </is>
      </c>
      <c r="Z72" s="117" t="inlineStr">
        <is>
          <t>&lt;div class="product-desc"&gt;
  &lt;p&gt;Marque-page &lt;strong&gt;« Marque-pages métal créatifs (variés) »&lt;/strong&gt; — élégant, cadeau lecteur.&lt;/p&gt;
  &lt;p&gt;&lt;strong&gt;Vous ne retrouvez jamais votre page ?&lt;/strong&gt;&lt;/p&gt;
  &lt;h3&gt;✅ Élégant et durable&lt;/h3&gt;
  &lt;p&gt;En métal (ou résine) : bien plus chic et résistant qu'un marque-page en papier.&lt;/p&gt;
  &lt;h3&gt;✅ Le cadeau lecteur idéal&lt;/h3&gt;
  &lt;p&gt;Petit prix, grand effet : parfait pour offrir à un rat de bibliothèque.&lt;/p&gt;
  &lt;h3&gt;✅ Un design soigné&lt;/h3&gt;
  &lt;p&gt;Finitions nettes, gravure ou motif travaillé : un bel objet du quotidien.&lt;/p&gt;
  &lt;h3&gt;📦 Caractéristiques&lt;/h3&gt;
  &lt;ul&gt;
    &lt;li&gt;&lt;strong&gt;Type :&lt;/strong&gt; Marque-page métal / résine&lt;/li&gt;
    &lt;li&gt;&lt;strong&gt;Design :&lt;/strong&gt; Voir variante&lt;/li&gt;
    &lt;li&gt;&lt;strong&gt;Format :&lt;/strong&gt; Léger, glisse dans tout livre&lt;/li&gt;
    &lt;li&gt;&lt;strong&gt;Idéal pour :&lt;/strong&gt; Cadeau, lecture&lt;/li&gt;
  &lt;/ul&gt;
  &lt;h3&gt;❓ Questions fréquentes&lt;/h3&gt;
  &lt;details&gt;&lt;summary&gt;Est-ce personnalisable avec un texte ?&lt;/summary&gt;&lt;p&gt;Certaines variantes proposent des designs ; pour une gravure prénom, la faisabilité dépend du modèle — à confirmer.&lt;/p&gt;&lt;/details&gt;
  &lt;details&gt;&lt;summary&gt;Ça abîme les pages ?&lt;/summary&gt;&lt;p&gt;Non, le format est fin et lisse ; il se glisse sans marquer les pages.&lt;/p&gt;&lt;/details&gt;
  &lt;details&gt;&lt;summary&gt;Bon cadeau ?&lt;/summary&gt;&lt;p&gt;Oui, idéal pour tout amateur de lecture, à petit budget.&lt;/p&gt;&lt;/details&gt;
  &lt;p&gt;&lt;strong&gt;🛒 Offrez ce marque-page — Livraison offerte dès 39€ d'achat.&lt;/strong&gt;&lt;/p&gt;
&lt;/div&gt;</t>
        </is>
      </c>
    </row>
    <row r="73">
      <c r="A73" s="57" t="inlineStr">
        <is>
          <t>marque-page-personnalise-5</t>
        </is>
      </c>
      <c r="B73" s="117" t="inlineStr">
        <is>
          <t>marque page personnalisé</t>
        </is>
      </c>
      <c r="C73" s="117" t="inlineStr">
        <is>
          <t>Marque-page résine main/pouce (original)</t>
        </is>
      </c>
      <c r="D73" s="117" t="inlineStr">
        <is>
          <t>https://fr.aliexpress.com/item/1005008675151866.html</t>
        </is>
      </c>
      <c r="E73" s="156" t="n">
        <v>6.59</v>
      </c>
      <c r="F73" s="156" t="n">
        <v>0</v>
      </c>
      <c r="G73" s="156">
        <f>IF(OR(E73="",F73=""),"",E73+F73)</f>
        <v/>
      </c>
      <c r="H73" s="156">
        <f>IFERROR(VLOOKUP(B73,'Collections'!$C$4:$L$18,10,FALSE),"")</f>
        <v/>
      </c>
      <c r="I73" s="162">
        <f>IFERROR(H73/G73,"")</f>
        <v/>
      </c>
      <c r="J73" s="163" t="n">
        <v>4.8</v>
      </c>
      <c r="K73" s="151" t="n">
        <v>461</v>
      </c>
      <c r="L73" s="117" t="inlineStr">
        <is>
          <t>Choice — vendeur agrégé</t>
        </is>
      </c>
      <c r="M73" s="117" t="inlineStr">
        <is>
          <t>16-20 juil. (~6-10 j)</t>
        </is>
      </c>
      <c r="N73" s="117" t="inlineStr">
        <is>
          <t>Choice</t>
        </is>
      </c>
      <c r="O73" s="117" t="inlineStr">
        <is>
          <t>Couleur: SQ-267</t>
        </is>
      </c>
      <c r="P73" s="117" t="inlineStr">
        <is>
          <t>Marque-page résine main/pouce — original &amp; fun</t>
        </is>
      </c>
      <c r="Q73" s="117" t="inlineStr">
        <is>
          <t>Marque-page métal/résine, léger. ATTENTION 'personnalisé' = choix de designs (variante SQxxxx), PAS d'envoi de texte custom visible sur la fiche → si offre 'gravure prénom', VALIDER process (texte/BAT/MOQ/délai) avec le fournisseur.</t>
        </is>
      </c>
      <c r="R73" s="117" t="inlineStr">
        <is>
          <t>Retenir</t>
        </is>
      </c>
      <c r="S73" s="164" t="n">
        <v>46213</v>
      </c>
      <c r="T73" s="59" t="inlineStr">
        <is>
          <t>AliExpress Choice ; livraison gratuite dès 10€ ; note agrégée ; marge x2,3 à 14,90€ = faible (remonter prix)</t>
        </is>
      </c>
      <c r="U73" s="117" t="inlineStr">
        <is>
          <t>PACKSHOT — Hero packshot of the bookmark «Marque-page résine main/pouce (original)» (metal/resin), centered on clean pastel seamless background, soft shadow, ultra-sharp, soft pastel kawaii brand aesthetic, cohesive palette (blush pink, cream, mint, lilac), 1:1.
LIFESTYLE — Flat-lay of «Marque-page résine main/pouce (original)» resting on an open book with dried flowers and a warm drink, soft light, top-down, soft pastel kawaii brand aesthetic, cohesive palette (blush pink, cream, mint, lilac), 1:1.
EN SITUATION — «Marque-page résine main/pouce (original)» tucked into a book held by a hand, cozy reading nook, shallow depth of field.
DÉTAIL — Macro of «Marque-page résine main/pouce (original)» engraving / resin detail, crisp, soft reflective light.
FEATURE — Clean feature image of «Marque-page résine main/pouce (original)» presented as a gift (with a small pouch), soft pastel kawaii brand aesthetic, cohesive palette (blush pink, cream, mint, lilac), negative space.</t>
        </is>
      </c>
      <c r="V73" t="inlineStr">
        <is>
          <t>.../outputs/coloriage-kawaii-arborescence-2026-07-09/images_produits/73_marque-page-personnalise_1005008675151866</t>
        </is>
      </c>
      <c r="W73" t="inlineStr">
        <is>
          <t>Marque-page Marque-page résine main/pouce (original) | [Marque]</t>
        </is>
      </c>
      <c r="X73" t="inlineStr">
        <is>
          <t>Marque-page résine main/pouce (original) — marque-page | [M</t>
        </is>
      </c>
      <c r="Y73" t="inlineStr">
        <is>
          <t>Marque-page résine main/pouce (original) : élégant, cadeau lecteur. Livraison rapide, avis vérifiés. Commandez sur [Marque] !</t>
        </is>
      </c>
      <c r="Z73" s="117" t="inlineStr">
        <is>
          <t>&lt;div class="product-desc"&gt;
  &lt;p&gt;Marque-page &lt;strong&gt;« Marque-page résine main/pouce (original) »&lt;/strong&gt; — élégant, cadeau lecteur.&lt;/p&gt;
  &lt;p&gt;&lt;strong&gt;Le cadeau parfait pour un(e) passionné(e) de lecture ?&lt;/strong&gt;&lt;/p&gt;
  &lt;h3&gt;✅ Élégant et durable&lt;/h3&gt;
  &lt;p&gt;En métal (ou résine) : bien plus chic et résistant qu'un marque-page en papier.&lt;/p&gt;
  &lt;h3&gt;✅ Le cadeau lecteur idéal&lt;/h3&gt;
  &lt;p&gt;Petit prix, grand effet : parfait pour offrir à un rat de bibliothèque.&lt;/p&gt;
  &lt;h3&gt;✅ Un design soigné&lt;/h3&gt;
  &lt;p&gt;Finitions nettes, gravure ou motif travaillé : un bel objet du quotidien.&lt;/p&gt;
  &lt;h3&gt;📦 Caractéristiques&lt;/h3&gt;
  &lt;ul&gt;
    &lt;li&gt;&lt;strong&gt;Type :&lt;/strong&gt; Marque-page métal / résine&lt;/li&gt;
    &lt;li&gt;&lt;strong&gt;Design :&lt;/strong&gt; Voir variante&lt;/li&gt;
    &lt;li&gt;&lt;strong&gt;Format :&lt;/strong&gt; Léger, glisse dans tout livre&lt;/li&gt;
    &lt;li&gt;&lt;strong&gt;Idéal pour :&lt;/strong&gt; Cadeau, lecture&lt;/li&gt;
  &lt;/ul&gt;
  &lt;h3&gt;❓ Questions fréquentes&lt;/h3&gt;
  &lt;details&gt;&lt;summary&gt;Est-ce personnalisable avec un texte ?&lt;/summary&gt;&lt;p&gt;Certaines variantes proposent des designs ; pour une gravure prénom, la faisabilité dépend du modèle — à confirmer.&lt;/p&gt;&lt;/details&gt;
  &lt;details&gt;&lt;summary&gt;Ça abîme les pages ?&lt;/summary&gt;&lt;p&gt;Non, le format est fin et lisse ; il se glisse sans marquer les pages.&lt;/p&gt;&lt;/details&gt;
  &lt;details&gt;&lt;summary&gt;Bon cadeau ?&lt;/summary&gt;&lt;p&gt;Oui, idéal pour tout amateur de lecture, à petit budget.&lt;/p&gt;&lt;/details&gt;
  &lt;p&gt;&lt;strong&gt;🛒 Offrez ce marque-page — Livraison offerte dès 39€ d'achat.&lt;/strong&gt;&lt;/p&gt;
&lt;/div&gt;</t>
        </is>
      </c>
    </row>
    <row r="74">
      <c r="A74" s="57" t="inlineStr">
        <is>
          <t>diamond-painting-personnalise-1</t>
        </is>
      </c>
      <c r="B74" s="117" t="inlineStr">
        <is>
          <t>diamond painting personnalisé</t>
        </is>
      </c>
      <c r="C74" s="117" t="inlineStr">
        <is>
          <t>Diamond painting photo perso 5D (petit format)</t>
        </is>
      </c>
      <c r="D74" s="117" t="inlineStr">
        <is>
          <t>https://fr.aliexpress.com/item/33011247950.html</t>
        </is>
      </c>
      <c r="E74" s="156" t="n">
        <v>2.52</v>
      </c>
      <c r="F74" s="156" t="n">
        <v>0</v>
      </c>
      <c r="G74" s="156">
        <f>IF(OR(E74="",F74=""),"",E74+F74)</f>
        <v/>
      </c>
      <c r="H74" s="156">
        <f>IFERROR(VLOOKUP(B74,'Collections'!$C$4:$L$18,10,FALSE),"")</f>
        <v/>
      </c>
      <c r="I74" s="162">
        <f>IFERROR(H74/G74,"")</f>
        <v/>
      </c>
      <c r="J74" s="163" t="n">
        <v>4.9</v>
      </c>
      <c r="K74" s="151" t="n">
        <v>10000</v>
      </c>
      <c r="L74" s="117" t="inlineStr">
        <is>
          <t>Vendeur AliExpress (non Choice)</t>
        </is>
      </c>
      <c r="M74" s="117" t="inlineStr">
        <is>
          <t>N/D (custom + expédition Chine)</t>
        </is>
      </c>
      <c r="N74" s="117" t="inlineStr">
        <is>
          <t>Non</t>
        </is>
      </c>
      <c r="O74" s="117" t="inlineStr">
        <is>
          <t>Couleur: Forêt rond complet</t>
        </is>
      </c>
      <c r="P74" s="117" t="inlineStr">
        <is>
          <t>Diamond painting photo perso — cadeau émotion</t>
        </is>
      </c>
      <c r="Q74" s="117" t="inlineStr">
        <is>
          <t>PRODUIT PERSONNALISÉ (photo→toile diamant) : VÉRIFIER process d'envoi photo au fournisseur (msg commande), BAT/aperçu avant prod, MOQ, DÉLAI SUPP. (prod custom + Chine, ~2-4 sem). Prix = fonction TAILLE (variante = plus petit format) → grille de prix par format. Fournisseur HOMFUN/RUOPOTY (générique DP).</t>
        </is>
      </c>
      <c r="R74" s="117" t="inlineStr">
        <is>
          <t>Retenir</t>
        </is>
      </c>
      <c r="S74" s="164" t="n">
        <v>46213</v>
      </c>
      <c r="T74" s="59" t="inlineStr">
        <is>
          <t>Non Choice ; prix = plus petit format (le prix monte avec la taille) ; produit sur-mesure photo ; note agrégée</t>
        </is>
      </c>
      <c r="U74" s="117" t="inlineStr">
        <is>
          <t>PACKSHOT — Hero shot of a finished personalized photo diamond painting «Diamond painting photo perso 5D (petit format)», a sparkling portrait canvas framed, centered on clean pastel background, soft shadow, ultra-sharp, soft pastel kawaii brand aesthetic, cohesive palette (blush pink, cream, mint, lilac), 1:1.
KIT — Top-down flat-lay of the diamond painting kit contents for «Diamond painting photo perso 5D (petit format)»: canvas, colorful resin diamonds in trays, applicator pen and glue, cozy desk, soft pastel kawaii brand aesthetic, cohesive palette (blush pink, cream, mint, lilac), 1:1.
EN SITUATION — Close-up of hands placing sparkling diamonds onto the canvas with the applicator pen, warm light, shallow depth of field.
DÉTAIL — Macro sparkle detail of the resin diamonds catching the light on the canvas, crisp, bokeh.
AVANT/APRÈS — Split concept: a personal photo transformed into a sparkling diamond painting «Diamond painting photo perso 5D (petit format)», tasteful, minimal callout 'votre photo', soft pastel kawaii brand aesthetic, cohesive palette (blush pink, cream, mint, lilac).</t>
        </is>
      </c>
      <c r="V74" t="inlineStr">
        <is>
          <t>.../outputs/coloriage-kawaii-arborescence-2026-07-09/images_produits/74_diamond-painting-personnalis_33011247950</t>
        </is>
      </c>
      <c r="W74" t="inlineStr">
        <is>
          <t xml:space="preserve">Diamond painting personnalisé Diamond painting photo perso 5D (petit </t>
        </is>
      </c>
      <c r="X74" t="inlineStr">
        <is>
          <t>Diamond painting photo perso 5D (petit f — diamond painting</t>
        </is>
      </c>
      <c r="Y74" t="inlineStr">
        <is>
          <t>Diamond painting photo perso 5D (petit f : votre photo en tableau scintillant. Livraison rapide, avis vérifiés. Commandez sur [Marque] !</t>
        </is>
      </c>
      <c r="Z74" s="117" t="inlineStr">
        <is>
          <t>&lt;div class="product-desc"&gt;
  &lt;p&gt;Diamond painting personnalisé &lt;strong&gt;« Diamond painting photo perso 5D (petit f »&lt;/strong&gt; — votre photo en tableau scintillant.&lt;/p&gt;
  &lt;p&gt;&lt;strong&gt;Et si votre plus belle photo devenait une œuvre scintillante ?&lt;/strong&gt;&lt;/p&gt;
  &lt;h3&gt;✅ Votre photo transformée en tableau de diamants&lt;/h3&gt;
  &lt;p&gt;Envoyez votre photo : nous la transformons en broderie diamant scintillante, unique et pleine d'émotion.&lt;/p&gt;
  &lt;h3&gt;✅ Un loisir créatif relaxant&lt;/h3&gt;
  &lt;p&gt;Placer les diamants, voir l'image prendre vie : une activité apaisante et gratifiante.&lt;/p&gt;
  &lt;h3&gt;✅ Le cadeau qui touche&lt;/h3&gt;
  &lt;p&gt;Anniversaire, couple, souvenir de famille : un présent sur-mesure qui marque.&lt;/p&gt;
  &lt;h3&gt;📦 Caractéristiques&lt;/h3&gt;
  &lt;ul&gt;
    &lt;li&gt;&lt;strong&gt;Type :&lt;/strong&gt; Kit diamond painting personnalisé (photo)&lt;/li&gt;
    &lt;li&gt;&lt;strong&gt;Taille :&lt;/strong&gt; Selon variante (le prix varie avec le format)&lt;/li&gt;
    &lt;li&gt;&lt;strong&gt;Contenu :&lt;/strong&gt; Toile imprimée + diamants + stylo + accessoires&lt;/li&gt;
    &lt;li&gt;&lt;strong&gt;Personnalisation :&lt;/strong&gt; À partir de votre photo&lt;/li&gt;
  &lt;/ul&gt;
  &lt;h3&gt;❓ Questions fréquentes&lt;/h3&gt;
  &lt;details&gt;&lt;summary&gt;Comment envoyer ma photo ?&lt;/summary&gt;&lt;p&gt;Après commande, transmettez votre photo (via message/commande) ; un aperçu (BAT) est recommandé avant production.&lt;/p&gt;&lt;/details&gt;
  &lt;details&gt;&lt;summary&gt;Quel délai ?&lt;/summary&gt;&lt;p&gt;Produit sur-mesure : prévoir un délai de production supplémentaire + expédition (souvent 2 à 4 semaines).&lt;/p&gt;&lt;/details&gt;
  &lt;details&gt;&lt;summary&gt;Quelle taille choisir ?&lt;/summary&gt;&lt;p&gt;Plus la toile est grande, plus le rendu est détaillé (et le prix monte) : choisissez selon le sujet.&lt;/p&gt;&lt;/details&gt;
  &lt;p&gt;&lt;strong&gt;🛒 Créez votre tableau souvenir — Livraison offerte dès 39€ d'achat.&lt;/strong&gt;&lt;/p&gt;
&lt;/div&gt;</t>
        </is>
      </c>
    </row>
    <row r="75">
      <c r="A75" s="57" t="inlineStr">
        <is>
          <t>diamond-painting-personnalise-2</t>
        </is>
      </c>
      <c r="B75" s="117" t="inlineStr">
        <is>
          <t>diamond painting personnalisé</t>
        </is>
      </c>
      <c r="C75" s="117" t="inlineStr">
        <is>
          <t>Diamond painting photo bricolage perso</t>
        </is>
      </c>
      <c r="D75" s="117" t="inlineStr">
        <is>
          <t>https://fr.aliexpress.com/item/32845497995.html</t>
        </is>
      </c>
      <c r="E75" s="156" t="n">
        <v>3.99</v>
      </c>
      <c r="F75" s="156" t="n">
        <v>0</v>
      </c>
      <c r="G75" s="156">
        <f>IF(OR(E75="",F75=""),"",E75+F75)</f>
        <v/>
      </c>
      <c r="H75" s="156">
        <f>IFERROR(VLOOKUP(B75,'Collections'!$C$4:$L$18,10,FALSE),"")</f>
        <v/>
      </c>
      <c r="I75" s="162">
        <f>IFERROR(H75/G75,"")</f>
        <v/>
      </c>
      <c r="J75" s="163" t="n">
        <v>4.8</v>
      </c>
      <c r="K75" s="151" t="n">
        <v>5000</v>
      </c>
      <c r="L75" s="117" t="inlineStr">
        <is>
          <t>Vendeur AliExpress (non Choice)</t>
        </is>
      </c>
      <c r="M75" s="117" t="inlineStr">
        <is>
          <t>N/D (custom + expédition Chine)</t>
        </is>
      </c>
      <c r="N75" s="117" t="inlineStr">
        <is>
          <t>Non</t>
        </is>
      </c>
      <c r="O75" s="117" t="inlineStr">
        <is>
          <t>Couleur: Forêt rond</t>
        </is>
      </c>
      <c r="P75" s="117" t="inlineStr">
        <is>
          <t>Diamond painting photo — souvenir personnalisé</t>
        </is>
      </c>
      <c r="Q75" s="117" t="inlineStr">
        <is>
          <t>PRODUIT PERSONNALISÉ (photo→toile diamant) : VÉRIFIER process d'envoi photo au fournisseur (msg commande), BAT/aperçu avant prod, MOQ, DÉLAI SUPP. (prod custom + Chine, ~2-4 sem). Prix = fonction TAILLE (variante = plus petit format) → grille de prix par format. Fournisseur HOMFUN/RUOPOTY (générique DP).</t>
        </is>
      </c>
      <c r="R75" s="117" t="inlineStr">
        <is>
          <t>Retenir</t>
        </is>
      </c>
      <c r="S75" s="164" t="n">
        <v>46213</v>
      </c>
      <c r="T75" s="59" t="inlineStr">
        <is>
          <t>Non Choice ; prix = plus petit format (le prix monte avec la taille) ; produit sur-mesure photo ; note agrégée</t>
        </is>
      </c>
      <c r="U75" s="117" t="inlineStr">
        <is>
          <t>PACKSHOT — Hero shot of a finished personalized photo diamond painting «Diamond painting photo bricolage perso», a sparkling portrait canvas framed, centered on clean pastel background, soft shadow, ultra-sharp, soft pastel kawaii brand aesthetic, cohesive palette (blush pink, cream, mint, lilac), 1:1.
KIT — Top-down flat-lay of the diamond painting kit contents for «Diamond painting photo bricolage perso»: canvas, colorful resin diamonds in trays, applicator pen and glue, cozy desk, soft pastel kawaii brand aesthetic, cohesive palette (blush pink, cream, mint, lilac), 1:1.
EN SITUATION — Close-up of hands placing sparkling diamonds onto the canvas with the applicator pen, warm light, shallow depth of field.
DÉTAIL — Macro sparkle detail of the resin diamonds catching the light on the canvas, crisp, bokeh.
AVANT/APRÈS — Split concept: a personal photo transformed into a sparkling diamond painting «Diamond painting photo bricolage perso», tasteful, minimal callout 'votre photo', soft pastel kawaii brand aesthetic, cohesive palette (blush pink, cream, mint, lilac).</t>
        </is>
      </c>
      <c r="V75" t="inlineStr">
        <is>
          <t>.../outputs/coloriage-kawaii-arborescence-2026-07-09/images_produits/75_diamond-painting-personnalis_32845497995</t>
        </is>
      </c>
      <c r="W75" t="inlineStr">
        <is>
          <t xml:space="preserve">Diamond painting personnalisé Diamond painting photo bricolage perso </t>
        </is>
      </c>
      <c r="X75" t="inlineStr">
        <is>
          <t>Diamond painting photo bricolage perso — diamond painting p</t>
        </is>
      </c>
      <c r="Y75" t="inlineStr">
        <is>
          <t>Diamond painting photo bricolage perso : votre photo en tableau scintillant. Livraison rapide, avis vérifiés. Commandez sur [Marque] !</t>
        </is>
      </c>
      <c r="Z75" s="117" t="inlineStr">
        <is>
          <t>&lt;div class="product-desc"&gt;
  &lt;p&gt;Diamond painting personnalisé &lt;strong&gt;« Diamond painting photo bricolage perso »&lt;/strong&gt; — votre photo en tableau scintillant.&lt;/p&gt;
  &lt;p&gt;&lt;strong&gt;Le cadeau 100% personnel et inoubliable ?&lt;/strong&gt;&lt;/p&gt;
  &lt;h3&gt;✅ Votre photo transformée en tableau de diamants&lt;/h3&gt;
  &lt;p&gt;Envoyez votre photo : nous la transformons en broderie diamant scintillante, unique et pleine d'émotion.&lt;/p&gt;
  &lt;h3&gt;✅ Un loisir créatif relaxant&lt;/h3&gt;
  &lt;p&gt;Placer les diamants, voir l'image prendre vie : une activité apaisante et gratifiante.&lt;/p&gt;
  &lt;h3&gt;✅ Le cadeau qui touche&lt;/h3&gt;
  &lt;p&gt;Anniversaire, couple, souvenir de famille : un présent sur-mesure qui marque.&lt;/p&gt;
  &lt;h3&gt;📦 Caractéristiques&lt;/h3&gt;
  &lt;ul&gt;
    &lt;li&gt;&lt;strong&gt;Type :&lt;/strong&gt; Kit diamond painting personnalisé (photo)&lt;/li&gt;
    &lt;li&gt;&lt;strong&gt;Taille :&lt;/strong&gt; Selon variante (le prix varie avec le format)&lt;/li&gt;
    &lt;li&gt;&lt;strong&gt;Contenu :&lt;/strong&gt; Toile imprimée + diamants + stylo + accessoires&lt;/li&gt;
    &lt;li&gt;&lt;strong&gt;Personnalisation :&lt;/strong&gt; À partir de votre photo&lt;/li&gt;
  &lt;/ul&gt;
  &lt;h3&gt;❓ Questions fréquentes&lt;/h3&gt;
  &lt;details&gt;&lt;summary&gt;Comment envoyer ma photo ?&lt;/summary&gt;&lt;p&gt;Après commande, transmettez votre photo (via message/commande) ; un aperçu (BAT) est recommandé avant production.&lt;/p&gt;&lt;/details&gt;
  &lt;details&gt;&lt;summary&gt;Quel délai ?&lt;/summary&gt;&lt;p&gt;Produit sur-mesure : prévoir un délai de production supplémentaire + expédition (souvent 2 à 4 semaines).&lt;/p&gt;&lt;/details&gt;
  &lt;details&gt;&lt;summary&gt;Quelle taille choisir ?&lt;/summary&gt;&lt;p&gt;Plus la toile est grande, plus le rendu est détaillé (et le prix monte) : choisissez selon le sujet.&lt;/p&gt;&lt;/details&gt;
  &lt;p&gt;&lt;strong&gt;🛒 Créez votre tableau souvenir — Livraison offerte dès 39€ d'achat.&lt;/strong&gt;&lt;/p&gt;
&lt;/div&gt;</t>
        </is>
      </c>
    </row>
    <row r="76">
      <c r="A76" s="57" t="inlineStr">
        <is>
          <t>diamond-painting-personnalise-3</t>
        </is>
      </c>
      <c r="B76" s="117" t="inlineStr">
        <is>
          <t>diamond painting personnalisé</t>
        </is>
      </c>
      <c r="C76" s="117" t="inlineStr">
        <is>
          <t>Diamond painting photo perso (RUOPOTY)</t>
        </is>
      </c>
      <c r="D76" s="117" t="inlineStr">
        <is>
          <t>https://fr.aliexpress.com/item/1005006358189175.html</t>
        </is>
      </c>
      <c r="E76" s="156" t="n">
        <v>2.53</v>
      </c>
      <c r="F76" s="156" t="n">
        <v>0</v>
      </c>
      <c r="G76" s="156">
        <f>IF(OR(E76="",F76=""),"",E76+F76)</f>
        <v/>
      </c>
      <c r="H76" s="156">
        <f>IFERROR(VLOOKUP(B76,'Collections'!$C$4:$L$18,10,FALSE),"")</f>
        <v/>
      </c>
      <c r="I76" s="162">
        <f>IFERROR(H76/G76,"")</f>
        <v/>
      </c>
      <c r="J76" s="163" t="n">
        <v>4.7</v>
      </c>
      <c r="K76" s="151" t="n">
        <v>2000</v>
      </c>
      <c r="L76" s="117" t="inlineStr">
        <is>
          <t>Vendeur AliExpress (non Choice)</t>
        </is>
      </c>
      <c r="M76" s="117" t="inlineStr">
        <is>
          <t>N/D (custom + expédition Chine)</t>
        </is>
      </c>
      <c r="N76" s="117" t="inlineStr">
        <is>
          <t>Non</t>
        </is>
      </c>
      <c r="O76" s="117" t="inlineStr">
        <is>
          <t>Couleur: round diamond</t>
        </is>
      </c>
      <c r="P76" s="117" t="inlineStr">
        <is>
          <t>Diamond painting photo — plein diamant perso</t>
        </is>
      </c>
      <c r="Q76" s="117" t="inlineStr">
        <is>
          <t>PRODUIT PERSONNALISÉ (photo→toile diamant) : VÉRIFIER process d'envoi photo au fournisseur (msg commande), BAT/aperçu avant prod, MOQ, DÉLAI SUPP. (prod custom + Chine, ~2-4 sem). Prix = fonction TAILLE (variante = plus petit format) → grille de prix par format. Fournisseur HOMFUN/RUOPOTY (générique DP).</t>
        </is>
      </c>
      <c r="R76" s="117" t="inlineStr">
        <is>
          <t>Retenir</t>
        </is>
      </c>
      <c r="S76" s="164" t="n">
        <v>46213</v>
      </c>
      <c r="T76" s="59" t="inlineStr">
        <is>
          <t>Non Choice ; prix = plus petit format (le prix monte avec la taille) ; produit sur-mesure photo ; note agrégée</t>
        </is>
      </c>
      <c r="U76" s="117" t="inlineStr">
        <is>
          <t>PACKSHOT — Hero shot of a finished personalized photo diamond painting «Diamond painting photo perso (RUOPOTY)», a sparkling portrait canvas framed, centered on clean pastel background, soft shadow, ultra-sharp, soft pastel kawaii brand aesthetic, cohesive palette (blush pink, cream, mint, lilac), 1:1.
KIT — Top-down flat-lay of the diamond painting kit contents for «Diamond painting photo perso (RUOPOTY)»: canvas, colorful resin diamonds in trays, applicator pen and glue, cozy desk, soft pastel kawaii brand aesthetic, cohesive palette (blush pink, cream, mint, lilac), 1:1.
EN SITUATION — Close-up of hands placing sparkling diamonds onto the canvas with the applicator pen, warm light, shallow depth of field.
DÉTAIL — Macro sparkle detail of the resin diamonds catching the light on the canvas, crisp, bokeh.
AVANT/APRÈS — Split concept: a personal photo transformed into a sparkling diamond painting «Diamond painting photo perso (RUOPOTY)», tasteful, minimal callout 'votre photo', soft pastel kawaii brand aesthetic, cohesive palette (blush pink, cream, mint, lilac).</t>
        </is>
      </c>
      <c r="V76" t="inlineStr">
        <is>
          <t>.../outputs/coloriage-kawaii-arborescence-2026-07-09/images_produits/76_diamond-painting-personnalis_1005006358189175</t>
        </is>
      </c>
      <c r="W76" t="inlineStr">
        <is>
          <t xml:space="preserve">Diamond painting personnalisé Diamond painting photo perso (RUOPOTY) </t>
        </is>
      </c>
      <c r="X76" t="inlineStr">
        <is>
          <t>Diamond painting photo perso (RUOPOTY) — diamond painting p</t>
        </is>
      </c>
      <c r="Y76" t="inlineStr">
        <is>
          <t>Diamond painting photo perso (RUOPOTY) : votre photo en tableau scintillant. Livraison rapide, avis vérifiés. Commandez sur [Marque] !</t>
        </is>
      </c>
      <c r="Z76" s="117" t="inlineStr">
        <is>
          <t>&lt;div class="product-desc"&gt;
  &lt;p&gt;Diamond painting personnalisé &lt;strong&gt;« Diamond painting photo perso (RUOPOTY) »&lt;/strong&gt; — votre photo en tableau scintillant.&lt;/p&gt;
  &lt;p&gt;&lt;strong&gt;Envie d'un loisir créatif qui a du sens ?&lt;/strong&gt;&lt;/p&gt;
  &lt;h3&gt;✅ Votre photo transformée en tableau de diamants&lt;/h3&gt;
  &lt;p&gt;Envoyez votre photo : nous la transformons en broderie diamant scintillante, unique et pleine d'émotion.&lt;/p&gt;
  &lt;h3&gt;✅ Un loisir créatif relaxant&lt;/h3&gt;
  &lt;p&gt;Placer les diamants, voir l'image prendre vie : une activité apaisante et gratifiante.&lt;/p&gt;
  &lt;h3&gt;✅ Le cadeau qui touche&lt;/h3&gt;
  &lt;p&gt;Anniversaire, couple, souvenir de famille : un présent sur-mesure qui marque.&lt;/p&gt;
  &lt;h3&gt;📦 Caractéristiques&lt;/h3&gt;
  &lt;ul&gt;
    &lt;li&gt;&lt;strong&gt;Type :&lt;/strong&gt; Kit diamond painting personnalisé (photo)&lt;/li&gt;
    &lt;li&gt;&lt;strong&gt;Taille :&lt;/strong&gt; Selon variante (le prix varie avec le format)&lt;/li&gt;
    &lt;li&gt;&lt;strong&gt;Contenu :&lt;/strong&gt; Toile imprimée + diamants + stylo + accessoires&lt;/li&gt;
    &lt;li&gt;&lt;strong&gt;Personnalisation :&lt;/strong&gt; À partir de votre photo&lt;/li&gt;
  &lt;/ul&gt;
  &lt;h3&gt;❓ Questions fréquentes&lt;/h3&gt;
  &lt;details&gt;&lt;summary&gt;Comment envoyer ma photo ?&lt;/summary&gt;&lt;p&gt;Après commande, transmettez votre photo (via message/commande) ; un aperçu (BAT) est recommandé avant production.&lt;/p&gt;&lt;/details&gt;
  &lt;details&gt;&lt;summary&gt;Quel délai ?&lt;/summary&gt;&lt;p&gt;Produit sur-mesure : prévoir un délai de production supplémentaire + expédition (souvent 2 à 4 semaines).&lt;/p&gt;&lt;/details&gt;
  &lt;details&gt;&lt;summary&gt;Quelle taille choisir ?&lt;/summary&gt;&lt;p&gt;Plus la toile est grande, plus le rendu est détaillé (et le prix monte) : choisissez selon le sujet.&lt;/p&gt;&lt;/details&gt;
  &lt;p&gt;&lt;strong&gt;🛒 Créez votre tableau souvenir — Livraison offerte dès 39€ d'achat.&lt;/strong&gt;&lt;/p&gt;
&lt;/div&gt;</t>
        </is>
      </c>
    </row>
    <row r="77">
      <c r="A77" s="57" t="inlineStr">
        <is>
          <t>diamond-painting-personnalise-4</t>
        </is>
      </c>
      <c r="B77" s="117" t="inlineStr">
        <is>
          <t>diamond painting personnalisé</t>
        </is>
      </c>
      <c r="C77" s="117" t="inlineStr">
        <is>
          <t>Diamond painting résine AB photo perso</t>
        </is>
      </c>
      <c r="D77" s="117" t="inlineStr">
        <is>
          <t>https://fr.aliexpress.com/item/1005007564748698.html</t>
        </is>
      </c>
      <c r="E77" s="156" t="n">
        <v>2.52</v>
      </c>
      <c r="F77" s="156" t="n">
        <v>0</v>
      </c>
      <c r="G77" s="156">
        <f>IF(OR(E77="",F77=""),"",E77+F77)</f>
        <v/>
      </c>
      <c r="H77" s="156">
        <f>IFERROR(VLOOKUP(B77,'Collections'!$C$4:$L$18,10,FALSE),"")</f>
        <v/>
      </c>
      <c r="I77" s="162">
        <f>IFERROR(H77/G77,"")</f>
        <v/>
      </c>
      <c r="J77" s="163" t="n">
        <v>4.9</v>
      </c>
      <c r="K77" s="151" t="n">
        <v>1000</v>
      </c>
      <c r="L77" s="117" t="inlineStr">
        <is>
          <t>Vendeur AliExpress (non Choice)</t>
        </is>
      </c>
      <c r="M77" s="117" t="inlineStr">
        <is>
          <t>N/D (custom + expédition Chine)</t>
        </is>
      </c>
      <c r="N77" s="117" t="inlineStr">
        <is>
          <t>Non</t>
        </is>
      </c>
      <c r="O77" s="117" t="inlineStr">
        <is>
          <t>Couleur: Resin Square Drill</t>
        </is>
      </c>
      <c r="P77" s="117" t="inlineStr">
        <is>
          <t>Diamond painting résine AB — effet premium</t>
        </is>
      </c>
      <c r="Q77" s="117" t="inlineStr">
        <is>
          <t>PRODUIT PERSONNALISÉ (photo→toile diamant) : VÉRIFIER process d'envoi photo au fournisseur (msg commande), BAT/aperçu avant prod, MOQ, DÉLAI SUPP. (prod custom + Chine, ~2-4 sem). Prix = fonction TAILLE (variante = plus petit format) → grille de prix par format. Fournisseur HOMFUN/RUOPOTY (générique DP).</t>
        </is>
      </c>
      <c r="R77" s="117" t="inlineStr">
        <is>
          <t>Retenir</t>
        </is>
      </c>
      <c r="S77" s="164" t="n">
        <v>46213</v>
      </c>
      <c r="T77" s="59" t="inlineStr">
        <is>
          <t>Non Choice ; prix = plus petit format (le prix monte avec la taille) ; produit sur-mesure photo ; note agrégée</t>
        </is>
      </c>
      <c r="U77" s="117" t="inlineStr">
        <is>
          <t>PACKSHOT — Hero shot of a finished personalized photo diamond painting «Diamond painting résine AB photo perso», a sparkling portrait canvas framed, centered on clean pastel background, soft shadow, ultra-sharp, soft pastel kawaii brand aesthetic, cohesive palette (blush pink, cream, mint, lilac), 1:1.
KIT — Top-down flat-lay of the diamond painting kit contents for «Diamond painting résine AB photo perso»: canvas, colorful resin diamonds in trays, applicator pen and glue, cozy desk, soft pastel kawaii brand aesthetic, cohesive palette (blush pink, cream, mint, lilac), 1:1.
EN SITUATION — Close-up of hands placing sparkling diamonds onto the canvas with the applicator pen, warm light, shallow depth of field.
DÉTAIL — Macro sparkle detail of the resin diamonds catching the light on the canvas, crisp, bokeh.
AVANT/APRÈS — Split concept: a personal photo transformed into a sparkling diamond painting «Diamond painting résine AB photo perso», tasteful, minimal callout 'votre photo', soft pastel kawaii brand aesthetic, cohesive palette (blush pink, cream, mint, lilac).</t>
        </is>
      </c>
      <c r="V77" t="inlineStr">
        <is>
          <t>.../outputs/coloriage-kawaii-arborescence-2026-07-09/images_produits/77_diamond-painting-personnalis_1005007564748698</t>
        </is>
      </c>
      <c r="W77" t="inlineStr">
        <is>
          <t xml:space="preserve">Diamond painting personnalisé Diamond painting résine AB photo perso </t>
        </is>
      </c>
      <c r="X77" t="inlineStr">
        <is>
          <t>Diamond painting résine AB photo perso — diamond painting p</t>
        </is>
      </c>
      <c r="Y77" t="inlineStr">
        <is>
          <t>Diamond painting résine AB photo perso : votre photo en tableau scintillant. Livraison rapide, avis vérifiés. Commandez sur [Marque] !</t>
        </is>
      </c>
      <c r="Z77" s="117" t="inlineStr">
        <is>
          <t>&lt;div class="product-desc"&gt;
  &lt;p&gt;Diamond painting personnalisé &lt;strong&gt;« Diamond painting résine AB photo perso »&lt;/strong&gt; — votre photo en tableau scintillant.&lt;/p&gt;
  &lt;p&gt;&lt;strong&gt;Et si votre plus belle photo devenait une œuvre scintillante ?&lt;/strong&gt;&lt;/p&gt;
  &lt;h3&gt;✅ Votre photo transformée en tableau de diamants&lt;/h3&gt;
  &lt;p&gt;Envoyez votre photo : nous la transformons en broderie diamant scintillante, unique et pleine d'émotion.&lt;/p&gt;
  &lt;h3&gt;✅ Un loisir créatif relaxant&lt;/h3&gt;
  &lt;p&gt;Placer les diamants, voir l'image prendre vie : une activité apaisante et gratifiante.&lt;/p&gt;
  &lt;h3&gt;✅ Le cadeau qui touche&lt;/h3&gt;
  &lt;p&gt;Anniversaire, couple, souvenir de famille : un présent sur-mesure qui marque.&lt;/p&gt;
  &lt;h3&gt;📦 Caractéristiques&lt;/h3&gt;
  &lt;ul&gt;
    &lt;li&gt;&lt;strong&gt;Type :&lt;/strong&gt; Kit diamond painting personnalisé (photo)&lt;/li&gt;
    &lt;li&gt;&lt;strong&gt;Taille :&lt;/strong&gt; Selon variante (le prix varie avec le format)&lt;/li&gt;
    &lt;li&gt;&lt;strong&gt;Contenu :&lt;/strong&gt; Toile imprimée + diamants + stylo + accessoires&lt;/li&gt;
    &lt;li&gt;&lt;strong&gt;Personnalisation :&lt;/strong&gt; À partir de votre photo&lt;/li&gt;
  &lt;/ul&gt;
  &lt;h3&gt;❓ Questions fréquentes&lt;/h3&gt;
  &lt;details&gt;&lt;summary&gt;Comment envoyer ma photo ?&lt;/summary&gt;&lt;p&gt;Après commande, transmettez votre photo (via message/commande) ; un aperçu (BAT) est recommandé avant production.&lt;/p&gt;&lt;/details&gt;
  &lt;details&gt;&lt;summary&gt;Quel délai ?&lt;/summary&gt;&lt;p&gt;Produit sur-mesure : prévoir un délai de production supplémentaire + expédition (souvent 2 à 4 semaines).&lt;/p&gt;&lt;/details&gt;
  &lt;details&gt;&lt;summary&gt;Quelle taille choisir ?&lt;/summary&gt;&lt;p&gt;Plus la toile est grande, plus le rendu est détaillé (et le prix monte) : choisissez selon le sujet.&lt;/p&gt;&lt;/details&gt;
  &lt;p&gt;&lt;strong&gt;🛒 Créez votre tableau souvenir — Livraison offerte dès 39€ d'achat.&lt;/strong&gt;&lt;/p&gt;
&lt;/div&gt;</t>
        </is>
      </c>
    </row>
    <row r="78">
      <c r="A78" s="60" t="inlineStr">
        <is>
          <t>diamond-painting-personnalise-5</t>
        </is>
      </c>
      <c r="B78" s="118" t="inlineStr">
        <is>
          <t>diamond painting personnalisé</t>
        </is>
      </c>
      <c r="C78" s="118" t="inlineStr">
        <is>
          <t>Diamond painting résine AB 'fée' photo perso</t>
        </is>
      </c>
      <c r="D78" s="118" t="inlineStr">
        <is>
          <t>https://fr.aliexpress.com/item/1005006987632506.html</t>
        </is>
      </c>
      <c r="E78" s="158" t="n">
        <v>5.29</v>
      </c>
      <c r="F78" s="158" t="n">
        <v>0</v>
      </c>
      <c r="G78" s="158">
        <f>IF(OR(E78="",F78=""),"",E78+F78)</f>
        <v/>
      </c>
      <c r="H78" s="158">
        <f>IFERROR(VLOOKUP(B78,'Collections'!$C$4:$L$18,10,FALSE),"")</f>
        <v/>
      </c>
      <c r="I78" s="165">
        <f>IFERROR(H78/G78,"")</f>
        <v/>
      </c>
      <c r="J78" s="166" t="n">
        <v>4.9</v>
      </c>
      <c r="K78" s="152" t="n">
        <v>2000</v>
      </c>
      <c r="L78" s="118" t="inlineStr">
        <is>
          <t>Vendeur AliExpress (non Choice)</t>
        </is>
      </c>
      <c r="M78" s="118" t="inlineStr">
        <is>
          <t>N/D (custom + expédition Chine)</t>
        </is>
      </c>
      <c r="N78" s="118" t="inlineStr">
        <is>
          <t>Non</t>
        </is>
      </c>
      <c r="O78" s="118" t="inlineStr">
        <is>
          <t>Couleur: Acrylic Round Drill</t>
        </is>
      </c>
      <c r="P78" s="118" t="inlineStr">
        <is>
          <t>Diamond painting résine AB fée — haut de gamme</t>
        </is>
      </c>
      <c r="Q78" s="118" t="inlineStr">
        <is>
          <t>PRODUIT PERSONNALISÉ (photo→toile diamant) : VÉRIFIER process d'envoi photo au fournisseur (msg commande), BAT/aperçu avant prod, MOQ, DÉLAI SUPP. (prod custom + Chine, ~2-4 sem). Prix = fonction TAILLE (variante = plus petit format) → grille de prix par format. Fournisseur HOMFUN/RUOPOTY (générique DP).</t>
        </is>
      </c>
      <c r="R78" s="118" t="inlineStr">
        <is>
          <t>Retenir</t>
        </is>
      </c>
      <c r="S78" s="167" t="n">
        <v>46213</v>
      </c>
      <c r="T78" s="62" t="inlineStr">
        <is>
          <t>Non Choice ; prix = plus petit format (le prix monte avec la taille) ; produit sur-mesure photo ; note agrégée</t>
        </is>
      </c>
      <c r="U78" s="117" t="inlineStr">
        <is>
          <t>PACKSHOT — Hero shot of a finished personalized photo diamond painting «Diamond painting résine AB 'fée' photo perso», a sparkling portrait canvas framed, centered on clean pastel background, soft shadow, ultra-sharp, soft pastel kawaii brand aesthetic, cohesive palette (blush pink, cream, mint, lilac), 1:1.
KIT — Top-down flat-lay of the diamond painting kit contents for «Diamond painting résine AB 'fée' photo perso»: canvas, colorful resin diamonds in trays, applicator pen and glue, cozy desk, soft pastel kawaii brand aesthetic, cohesive palette (blush pink, cream, mint, lilac), 1:1.
EN SITUATION — Close-up of hands placing sparkling diamonds onto the canvas with the applicator pen, warm light, shallow depth of field.
DÉTAIL — Macro sparkle detail of the resin diamonds catching the light on the canvas, crisp, bokeh.
AVANT/APRÈS — Split concept: a personal photo transformed into a sparkling diamond painting «Diamond painting résine AB 'fée' photo perso», tasteful, minimal callout 'votre photo', soft pastel kawaii brand aesthetic, cohesive palette (blush pink, cream, mint, lilac).</t>
        </is>
      </c>
      <c r="V78" t="inlineStr">
        <is>
          <t>.../outputs/coloriage-kawaii-arborescence-2026-07-09/images_produits/78_diamond-painting-personnalis_1005006987632506</t>
        </is>
      </c>
      <c r="W78" t="inlineStr">
        <is>
          <t xml:space="preserve">Diamond painting personnalisé Diamond painting résine AB 'fée' photo </t>
        </is>
      </c>
      <c r="X78" t="inlineStr">
        <is>
          <t>Diamond painting résine AB 'fée' photo p — diamond painting</t>
        </is>
      </c>
      <c r="Y78" t="inlineStr">
        <is>
          <t>Diamond painting résine AB 'fée' photo p : votre photo en tableau scintillant. Livraison rapide, avis vérifiés. Commandez sur [Marque] !</t>
        </is>
      </c>
      <c r="Z78" s="117" t="inlineStr">
        <is>
          <t>&lt;div class="product-desc"&gt;
  &lt;p&gt;Diamond painting personnalisé &lt;strong&gt;« Diamond painting résine AB 'fée' photo p »&lt;/strong&gt; — votre photo en tableau scintillant.&lt;/p&gt;
  &lt;p&gt;&lt;strong&gt;Le cadeau 100% personnel et inoubliable ?&lt;/strong&gt;&lt;/p&gt;
  &lt;h3&gt;✅ Votre photo transformée en tableau de diamants&lt;/h3&gt;
  &lt;p&gt;Envoyez votre photo : nous la transformons en broderie diamant scintillante, unique et pleine d'émotion.&lt;/p&gt;
  &lt;h3&gt;✅ Un loisir créatif relaxant&lt;/h3&gt;
  &lt;p&gt;Placer les diamants, voir l'image prendre vie : une activité apaisante et gratifiante.&lt;/p&gt;
  &lt;h3&gt;✅ Le cadeau qui touche&lt;/h3&gt;
  &lt;p&gt;Anniversaire, couple, souvenir de famille : un présent sur-mesure qui marque.&lt;/p&gt;
  &lt;h3&gt;📦 Caractéristiques&lt;/h3&gt;
  &lt;ul&gt;
    &lt;li&gt;&lt;strong&gt;Type :&lt;/strong&gt; Kit diamond painting personnalisé (photo)&lt;/li&gt;
    &lt;li&gt;&lt;strong&gt;Taille :&lt;/strong&gt; Selon variante (le prix varie avec le format)&lt;/li&gt;
    &lt;li&gt;&lt;strong&gt;Contenu :&lt;/strong&gt; Toile imprimée + diamants + stylo + accessoires&lt;/li&gt;
    &lt;li&gt;&lt;strong&gt;Personnalisation :&lt;/strong&gt; À partir de votre photo&lt;/li&gt;
  &lt;/ul&gt;
  &lt;h3&gt;❓ Questions fréquentes&lt;/h3&gt;
  &lt;details&gt;&lt;summary&gt;Comment envoyer ma photo ?&lt;/summary&gt;&lt;p&gt;Après commande, transmettez votre photo (via message/commande) ; un aperçu (BAT) est recommandé avant production.&lt;/p&gt;&lt;/details&gt;
  &lt;details&gt;&lt;summary&gt;Quel délai ?&lt;/summary&gt;&lt;p&gt;Produit sur-mesure : prévoir un délai de production supplémentaire + expédition (souvent 2 à 4 semaines).&lt;/p&gt;&lt;/details&gt;
  &lt;details&gt;&lt;summary&gt;Quelle taille choisir ?&lt;/summary&gt;&lt;p&gt;Plus la toile est grande, plus le rendu est détaillé (et le prix monte) : choisissez selon le sujet.&lt;/p&gt;&lt;/details&gt;
  &lt;p&gt;&lt;strong&gt;🛒 Créez votre tableau souvenir — Livraison offerte dès 39€ d'achat.&lt;/strong&gt;&lt;/p&gt;
&lt;/div&gt;</t>
        </is>
      </c>
    </row>
  </sheetData>
  <mergeCells count="2">
    <mergeCell ref="A1:T1"/>
    <mergeCell ref="A2:T2"/>
  </mergeCells>
  <dataValidations count="1">
    <dataValidation sqref="R4:R78" showDropDown="0" showInputMessage="0" showErrorMessage="0" allowBlank="0" type="list">
      <formula1>"À vérifier,Retenir,Test,Écarter"</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28" customWidth="1" style="111" min="1" max="1"/>
    <col width="12" customWidth="1" style="111" min="2" max="2"/>
    <col width="12" customWidth="1" style="111" min="3" max="3"/>
    <col width="12" customWidth="1" style="111" min="4" max="4"/>
    <col width="14" customWidth="1" style="111" min="5" max="5"/>
    <col width="14" customWidth="1" style="111" min="6" max="6"/>
    <col width="14" customWidth="1" style="111" min="7" max="7"/>
    <col width="16" customWidth="1" style="111" min="8" max="8"/>
    <col width="80" customWidth="1" style="111" min="9" max="9"/>
    <col width="20" customWidth="1" style="111" min="10" max="10"/>
  </cols>
  <sheetData>
    <row r="1" ht="34" customHeight="1" s="111">
      <c r="A1" s="133" t="inlineStr">
        <is>
          <t>Donnees source Ahrefs utilisees</t>
        </is>
      </c>
    </row>
    <row r="2">
      <c r="A2" s="117" t="n"/>
      <c r="B2" s="117" t="n"/>
      <c r="C2" s="117" t="n"/>
      <c r="D2" s="117" t="n"/>
      <c r="E2" s="117" t="n"/>
      <c r="F2" s="117" t="n"/>
      <c r="G2" s="117" t="n"/>
      <c r="H2" s="117" t="n"/>
      <c r="I2" s="117" t="n"/>
      <c r="J2" s="117" t="n"/>
    </row>
    <row r="3">
      <c r="A3" s="135" t="inlineStr">
        <is>
          <t>Keyword</t>
        </is>
      </c>
      <c r="B3" s="136" t="inlineStr">
        <is>
          <t>Volume</t>
        </is>
      </c>
      <c r="C3" s="136" t="inlineStr">
        <is>
          <t>KD</t>
        </is>
      </c>
      <c r="D3" s="136" t="inlineStr">
        <is>
          <t>CPC</t>
        </is>
      </c>
      <c r="E3" s="136" t="inlineStr">
        <is>
          <t>Informational</t>
        </is>
      </c>
      <c r="F3" s="136" t="inlineStr">
        <is>
          <t>Commercial</t>
        </is>
      </c>
      <c r="G3" s="136" t="inlineStr">
        <is>
          <t>Transactional</t>
        </is>
      </c>
      <c r="H3" s="136" t="inlineStr">
        <is>
          <t>Current position</t>
        </is>
      </c>
      <c r="I3" s="136" t="inlineStr">
        <is>
          <t>Current URL</t>
        </is>
      </c>
      <c r="J3" s="137" t="inlineStr">
        <is>
          <t>Utilise comme collection</t>
        </is>
      </c>
    </row>
    <row r="4">
      <c r="A4" s="54" t="inlineStr">
        <is>
          <t>coloriage kawaii</t>
        </is>
      </c>
      <c r="B4" s="150" t="n">
        <v>38000</v>
      </c>
      <c r="C4" s="153" t="n">
        <v>1</v>
      </c>
      <c r="D4" s="154" t="n">
        <v>0.06</v>
      </c>
      <c r="E4" s="116" t="b">
        <v>1</v>
      </c>
      <c r="F4" s="116" t="b">
        <v>1</v>
      </c>
      <c r="G4" s="116" t="b">
        <v>1</v>
      </c>
      <c r="H4" s="116" t="inlineStr">
        <is>
          <t>1</t>
        </is>
      </c>
      <c r="I4" s="116" t="inlineStr">
        <is>
          <t>https://www.amazon.fr/Livre-Coloriage-Kawaii-Festivit%C3%A9s-C%C3%A9l%C3%A9brations/dp/B0CNWWTSY2</t>
        </is>
      </c>
      <c r="J4" s="56" t="inlineStr">
        <is>
          <t>Oui</t>
        </is>
      </c>
    </row>
    <row r="5">
      <c r="A5" s="57" t="inlineStr">
        <is>
          <t>coloriage adulte</t>
        </is>
      </c>
      <c r="B5" s="151" t="n">
        <v>15000</v>
      </c>
      <c r="C5" s="155" t="n">
        <v>0</v>
      </c>
      <c r="D5" s="156" t="n">
        <v>0.1</v>
      </c>
      <c r="E5" s="117" t="b">
        <v>1</v>
      </c>
      <c r="F5" s="117" t="b">
        <v>1</v>
      </c>
      <c r="G5" s="117" t="b">
        <v>0</v>
      </c>
      <c r="H5" s="117" t="str"/>
      <c r="I5" s="117" t="str"/>
      <c r="J5" s="59" t="inlineStr">
        <is>
          <t>Oui</t>
        </is>
      </c>
    </row>
    <row r="6">
      <c r="A6" s="57" t="inlineStr">
        <is>
          <t>coloriage magique</t>
        </is>
      </c>
      <c r="B6" s="151" t="n">
        <v>13000</v>
      </c>
      <c r="C6" s="155" t="n">
        <v>3</v>
      </c>
      <c r="D6" s="156" t="n">
        <v>0.08</v>
      </c>
      <c r="E6" s="117" t="b">
        <v>1</v>
      </c>
      <c r="F6" s="117" t="b">
        <v>1</v>
      </c>
      <c r="G6" s="117" t="b">
        <v>0</v>
      </c>
      <c r="H6" s="117" t="inlineStr">
        <is>
          <t>6</t>
        </is>
      </c>
      <c r="I6" s="117" t="inlineStr">
        <is>
          <t>https://www.amazon.fr/coloriage-magique/s?k=coloriage+magique</t>
        </is>
      </c>
      <c r="J6" s="59" t="inlineStr">
        <is>
          <t>Oui</t>
        </is>
      </c>
    </row>
    <row r="7">
      <c r="A7" s="57" t="inlineStr">
        <is>
          <t>coloriage mystere</t>
        </is>
      </c>
      <c r="B7" s="151" t="n">
        <v>12000</v>
      </c>
      <c r="C7" s="155" t="n">
        <v>0</v>
      </c>
      <c r="D7" s="156" t="n">
        <v>0.09</v>
      </c>
      <c r="E7" s="117" t="b">
        <v>1</v>
      </c>
      <c r="F7" s="117" t="b">
        <v>1</v>
      </c>
      <c r="G7" s="117" t="b">
        <v>1</v>
      </c>
      <c r="H7" s="117" t="inlineStr">
        <is>
          <t>3</t>
        </is>
      </c>
      <c r="I7" s="117" t="inlineStr">
        <is>
          <t>https://www.amazon.fr/coloriage-mystere/s?k=coloriage+mystere</t>
        </is>
      </c>
      <c r="J7" s="59" t="inlineStr">
        <is>
          <t>Oui</t>
        </is>
      </c>
    </row>
    <row r="8">
      <c r="A8" s="57" t="inlineStr">
        <is>
          <t>coloriage cosy</t>
        </is>
      </c>
      <c r="B8" s="151" t="n">
        <v>9200</v>
      </c>
      <c r="C8" s="155" t="n">
        <v>0</v>
      </c>
      <c r="D8" s="156" t="n">
        <v>0.11</v>
      </c>
      <c r="E8" s="117" t="b">
        <v>1</v>
      </c>
      <c r="F8" s="117" t="b">
        <v>1</v>
      </c>
      <c r="G8" s="117" t="b">
        <v>0</v>
      </c>
      <c r="H8" s="117" t="inlineStr">
        <is>
          <t>3</t>
        </is>
      </c>
      <c r="I8" s="117" t="inlineStr">
        <is>
          <t>https://www.amazon.fr/livre-coloriage-cosy/s?k=livre+coloriage+cosy</t>
        </is>
      </c>
      <c r="J8" s="59" t="inlineStr">
        <is>
          <t>Oui</t>
        </is>
      </c>
    </row>
    <row r="9">
      <c r="A9" s="57" t="inlineStr">
        <is>
          <t>coloriage manga</t>
        </is>
      </c>
      <c r="B9" s="151" t="n">
        <v>7000</v>
      </c>
      <c r="C9" s="155" t="n">
        <v>0</v>
      </c>
      <c r="D9" s="156" t="n">
        <v>0.07000000000000001</v>
      </c>
      <c r="E9" s="117" t="b">
        <v>1</v>
      </c>
      <c r="F9" s="117" t="b">
        <v>1</v>
      </c>
      <c r="G9" s="117" t="b">
        <v>0</v>
      </c>
      <c r="H9" s="117" t="inlineStr">
        <is>
          <t>1</t>
        </is>
      </c>
      <c r="I9" s="117" t="inlineStr">
        <is>
          <t>https://www.amazon.fr/Coloriage-Manga-diff%C3%A9rents-adolescents-personnage/dp/B0CMD8PMTV</t>
        </is>
      </c>
      <c r="J9" s="59" t="inlineStr">
        <is>
          <t>Oui</t>
        </is>
      </c>
    </row>
    <row r="10">
      <c r="A10" s="57" t="inlineStr">
        <is>
          <t>coloriage foot</t>
        </is>
      </c>
      <c r="B10" s="151" t="n">
        <v>6600</v>
      </c>
      <c r="C10" s="155" t="n">
        <v>0</v>
      </c>
      <c r="D10" s="156" t="n">
        <v>0.06</v>
      </c>
      <c r="E10" s="117" t="b">
        <v>1</v>
      </c>
      <c r="F10" s="117" t="b">
        <v>1</v>
      </c>
      <c r="G10" s="117" t="b">
        <v>0</v>
      </c>
      <c r="H10" s="117" t="inlineStr">
        <is>
          <t>1</t>
        </is>
      </c>
      <c r="I10" s="117" t="inlineStr">
        <is>
          <t>https://www.amazon.fr/Mon-cahier-coloriages-magiques-Foot/dp/2035992680</t>
        </is>
      </c>
      <c r="J10" s="59" t="inlineStr">
        <is>
          <t>Oui</t>
        </is>
      </c>
    </row>
    <row r="11">
      <c r="A11" s="57" t="inlineStr">
        <is>
          <t>coloriage fille</t>
        </is>
      </c>
      <c r="B11" s="151" t="n">
        <v>6600</v>
      </c>
      <c r="C11" s="155" t="n">
        <v>0</v>
      </c>
      <c r="D11" s="156" t="str"/>
      <c r="E11" s="117" t="b">
        <v>1</v>
      </c>
      <c r="F11" s="117" t="b">
        <v>1</v>
      </c>
      <c r="G11" s="117" t="b">
        <v>0</v>
      </c>
      <c r="H11" s="117" t="inlineStr">
        <is>
          <t>1</t>
        </is>
      </c>
      <c r="I11" s="117" t="inlineStr">
        <is>
          <t>https://www.amazon.fr/Coloriage-Kawaii-Fille-relaxant-anti-stress/dp/B0CVR37GQW</t>
        </is>
      </c>
      <c r="J11" s="59" t="inlineStr">
        <is>
          <t>Oui</t>
        </is>
      </c>
    </row>
    <row r="12">
      <c r="A12" s="57" t="inlineStr">
        <is>
          <t>coloriage kawaii fille</t>
        </is>
      </c>
      <c r="B12" s="151" t="n">
        <v>4800</v>
      </c>
      <c r="C12" s="155" t="n">
        <v>1</v>
      </c>
      <c r="D12" s="156" t="str"/>
      <c r="E12" s="117" t="b">
        <v>1</v>
      </c>
      <c r="F12" s="117" t="b">
        <v>1</v>
      </c>
      <c r="G12" s="117" t="b">
        <v>1</v>
      </c>
      <c r="H12" s="117" t="inlineStr">
        <is>
          <t>1</t>
        </is>
      </c>
      <c r="I12" s="117" t="inlineStr">
        <is>
          <t>https://www.amazon.fr/Coloriage-Kawaii-Fille-relaxant-anti-stress/dp/B0CVR37GQW</t>
        </is>
      </c>
      <c r="J12" s="59" t="inlineStr">
        <is>
          <t>Oui</t>
        </is>
      </c>
    </row>
    <row r="13">
      <c r="A13" s="57" t="inlineStr">
        <is>
          <t>chat kawaii</t>
        </is>
      </c>
      <c r="B13" s="151" t="n">
        <v>4200</v>
      </c>
      <c r="C13" s="155" t="n">
        <v>0</v>
      </c>
      <c r="D13" s="156" t="n">
        <v>0.06</v>
      </c>
      <c r="E13" s="117" t="b">
        <v>1</v>
      </c>
      <c r="F13" s="117" t="b">
        <v>1</v>
      </c>
      <c r="G13" s="117" t="b">
        <v>0</v>
      </c>
      <c r="H13" s="117" t="inlineStr">
        <is>
          <t>1</t>
        </is>
      </c>
      <c r="I13" s="117" t="inlineStr">
        <is>
          <t>https://www.amazon.fr/Livre-coloriage-chat-kawaii-japonais/dp/B0CFCX6VP5</t>
        </is>
      </c>
      <c r="J13" s="59" t="inlineStr">
        <is>
          <t>Oui</t>
        </is>
      </c>
    </row>
    <row r="14">
      <c r="A14" s="57" t="inlineStr">
        <is>
          <t>feutre acrylique</t>
        </is>
      </c>
      <c r="B14" s="151" t="n">
        <v>33000</v>
      </c>
      <c r="C14" s="155" t="n">
        <v>0</v>
      </c>
      <c r="D14" s="156" t="n">
        <v>0.16</v>
      </c>
      <c r="E14" s="117" t="b">
        <v>1</v>
      </c>
      <c r="F14" s="117" t="b">
        <v>1</v>
      </c>
      <c r="G14" s="117" t="b">
        <v>1</v>
      </c>
      <c r="H14" s="117" t="inlineStr">
        <is>
          <t>1</t>
        </is>
      </c>
      <c r="I14" s="117" t="inlineStr">
        <is>
          <t>https://www.amazon.fr/feutre-acrylique/s?k=feutre+acrylique</t>
        </is>
      </c>
      <c r="J14" s="59" t="inlineStr">
        <is>
          <t>Oui</t>
        </is>
      </c>
    </row>
    <row r="15">
      <c r="A15" s="57" t="inlineStr">
        <is>
          <t>feutre a alcool</t>
        </is>
      </c>
      <c r="B15" s="151" t="n">
        <v>5400</v>
      </c>
      <c r="C15" s="155" t="n">
        <v>0</v>
      </c>
      <c r="D15" s="156" t="n">
        <v>0.21</v>
      </c>
      <c r="E15" s="117" t="b">
        <v>1</v>
      </c>
      <c r="F15" s="117" t="b">
        <v>1</v>
      </c>
      <c r="G15" s="117" t="b">
        <v>1</v>
      </c>
      <c r="H15" s="117" t="inlineStr">
        <is>
          <t>5</t>
        </is>
      </c>
      <c r="I15" s="117" t="inlineStr">
        <is>
          <t>https://www.amazon.fr/feutre-a-alcool/s?k=feutre+a+alcool</t>
        </is>
      </c>
      <c r="J15" s="59" t="inlineStr">
        <is>
          <t>Oui</t>
        </is>
      </c>
    </row>
    <row r="16">
      <c r="A16" s="57" t="inlineStr">
        <is>
          <t>trousse kawaii</t>
        </is>
      </c>
      <c r="B16" s="151" t="n">
        <v>3800</v>
      </c>
      <c r="C16" s="155" t="n">
        <v>0</v>
      </c>
      <c r="D16" s="156" t="n">
        <v>0.14</v>
      </c>
      <c r="E16" s="117" t="b">
        <v>1</v>
      </c>
      <c r="F16" s="117" t="b">
        <v>1</v>
      </c>
      <c r="G16" s="117" t="b">
        <v>1</v>
      </c>
      <c r="H16" s="117" t="inlineStr">
        <is>
          <t>1</t>
        </is>
      </c>
      <c r="I16" s="117" t="inlineStr">
        <is>
          <t>https://www.amazon.fr/chiLUER-Trousse-Kawaii-fournitures-adolescentes/dp/B0B9FNCZR6</t>
        </is>
      </c>
      <c r="J16" s="59" t="inlineStr">
        <is>
          <t>Oui</t>
        </is>
      </c>
    </row>
    <row r="17">
      <c r="A17" s="57" t="inlineStr">
        <is>
          <t>marque page personnalisé</t>
        </is>
      </c>
      <c r="B17" s="151" t="n">
        <v>3700</v>
      </c>
      <c r="C17" s="155" t="n">
        <v>1</v>
      </c>
      <c r="D17" s="156" t="n">
        <v>0.42</v>
      </c>
      <c r="E17" s="117" t="b">
        <v>1</v>
      </c>
      <c r="F17" s="117" t="b">
        <v>1</v>
      </c>
      <c r="G17" s="117" t="b">
        <v>1</v>
      </c>
      <c r="H17" s="117" t="inlineStr">
        <is>
          <t>1</t>
        </is>
      </c>
      <c r="I17" s="117" t="inlineStr">
        <is>
          <t>https://www.amazon.fr/marque-page-personnalisable/s?k=marque+page+personnalisable</t>
        </is>
      </c>
      <c r="J17" s="59" t="inlineStr">
        <is>
          <t>Oui</t>
        </is>
      </c>
    </row>
    <row r="18">
      <c r="A18" s="60" t="inlineStr">
        <is>
          <t>diamond painting personnalisé</t>
        </is>
      </c>
      <c r="B18" s="152" t="n">
        <v>6000</v>
      </c>
      <c r="C18" s="157" t="n">
        <v>2</v>
      </c>
      <c r="D18" s="158" t="n">
        <v>0.71</v>
      </c>
      <c r="E18" s="118" t="b">
        <v>1</v>
      </c>
      <c r="F18" s="118" t="b">
        <v>1</v>
      </c>
      <c r="G18" s="118" t="b">
        <v>1</v>
      </c>
      <c r="H18" s="118" t="inlineStr">
        <is>
          <t>4</t>
        </is>
      </c>
      <c r="I18" s="118" t="inlineStr">
        <is>
          <t>https://www.amazon.fr/Painting-Personnalis%C3%A9-Personnaliser-Diamond-Painting-Personnalisable/dp/B0DF6X2BX5</t>
        </is>
      </c>
      <c r="J18" s="62" t="inlineStr">
        <is>
          <t>Oui</t>
        </is>
      </c>
    </row>
  </sheetData>
  <mergeCells count="1">
    <mergeCell ref="A1:J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2" customWidth="1" style="111" min="1" max="1"/>
    <col width="110" customWidth="1" style="111" min="2" max="2"/>
  </cols>
  <sheetData>
    <row r="1" ht="34" customHeight="1" s="111">
      <c r="A1" s="133" t="inlineStr">
        <is>
          <t>Notes et hypotheses</t>
        </is>
      </c>
    </row>
    <row r="2">
      <c r="A2" s="117" t="n"/>
      <c r="B2" s="117" t="n"/>
      <c r="C2" s="117" t="n"/>
      <c r="D2" s="117" t="n"/>
      <c r="E2" s="117" t="n"/>
      <c r="F2" s="117" t="n"/>
      <c r="G2" s="117" t="n"/>
      <c r="H2" s="117" t="n"/>
    </row>
    <row r="3">
      <c r="A3" s="122" t="inlineStr">
        <is>
          <t>Source CSV</t>
        </is>
      </c>
      <c r="B3" s="56" t="inlineStr">
        <is>
          <t>/Users/Hakim/Downloads/amazon.fr-organic-keywords-subdomains-fr-_2026-07-09_19-21-08.csv</t>
        </is>
      </c>
      <c r="C3" s="117" t="n"/>
      <c r="D3" s="117" t="n"/>
      <c r="E3" s="117" t="n"/>
      <c r="F3" s="117" t="n"/>
      <c r="G3" s="117" t="n"/>
      <c r="H3" s="117" t="n"/>
    </row>
    <row r="4">
      <c r="A4" s="123" t="inlineStr">
        <is>
          <t>Date de travail</t>
        </is>
      </c>
      <c r="B4" s="59" t="inlineStr">
        <is>
          <t>2026-07-10</t>
        </is>
      </c>
      <c r="C4" s="117" t="n"/>
      <c r="D4" s="117" t="n"/>
      <c r="E4" s="117" t="n"/>
      <c r="F4" s="117" t="n"/>
      <c r="G4" s="117" t="n"/>
      <c r="H4" s="117" t="n"/>
    </row>
    <row r="5">
      <c r="A5" s="123" t="inlineStr">
        <is>
          <t>Regle principale</t>
        </is>
      </c>
      <c r="B5" s="59" t="inlineStr">
        <is>
          <t>Chaque page de type Collection reprend un mot-cle exact du CSV ou son accentuation equivalente.</t>
        </is>
      </c>
      <c r="C5" s="117" t="n"/>
      <c r="D5" s="117" t="n"/>
      <c r="E5" s="117" t="n"/>
      <c r="F5" s="117" t="n"/>
      <c r="G5" s="117" t="n"/>
      <c r="H5" s="117" t="n"/>
    </row>
    <row r="6">
      <c r="A6" s="123" t="inlineStr">
        <is>
          <t>Objectif catalogue</t>
        </is>
      </c>
      <c r="B6" s="59" t="inlineStr">
        <is>
          <t>Construire 300+ SKU avec une cible actuelle de 430 SKU.</t>
        </is>
      </c>
      <c r="C6" s="117" t="n"/>
      <c r="D6" s="117" t="n"/>
      <c r="E6" s="117" t="n"/>
      <c r="F6" s="117" t="n"/>
      <c r="G6" s="117" t="n"/>
      <c r="H6" s="117" t="n"/>
    </row>
    <row r="7">
      <c r="A7" s="123" t="inlineStr">
        <is>
          <t>Positionnement</t>
        </is>
      </c>
      <c r="B7" s="59" t="inlineStr">
        <is>
          <t>Boutique mini-marque : kits, carnets, feutres, accessoires et cadeaux physiques.</t>
        </is>
      </c>
      <c r="C7" s="117" t="n"/>
      <c r="D7" s="117" t="n"/>
      <c r="E7" s="117" t="n"/>
      <c r="F7" s="117" t="n"/>
      <c r="G7" s="117" t="n"/>
      <c r="H7" s="117" t="n"/>
    </row>
    <row r="8">
      <c r="A8" s="123" t="inlineStr">
        <is>
          <t>A eviter</t>
        </is>
      </c>
      <c r="B8" s="59" t="inlineStr">
        <is>
          <t>Personnages/licences type Stitch, Disney, manga existant; fichiers gratuits; claims educatifs/sante non prouves.</t>
        </is>
      </c>
      <c r="C8" s="117" t="n"/>
      <c r="D8" s="117" t="n"/>
      <c r="E8" s="117" t="n"/>
      <c r="F8" s="117" t="n"/>
      <c r="G8" s="117" t="n"/>
      <c r="H8" s="117" t="n"/>
    </row>
    <row r="9">
      <c r="A9" s="123" t="inlineStr">
        <is>
          <t>SEO</t>
        </is>
      </c>
      <c r="B9" s="59" t="inlineStr">
        <is>
          <t>Les hubs menu ne doivent pas cannibaliser les collections exact-match.</t>
        </is>
      </c>
      <c r="C9" s="117" t="n"/>
      <c r="D9" s="117" t="n"/>
      <c r="E9" s="117" t="n"/>
      <c r="F9" s="117" t="n"/>
      <c r="G9" s="117" t="n"/>
      <c r="H9" s="117" t="n"/>
    </row>
    <row r="10">
      <c r="A10" s="123" t="inlineStr">
        <is>
          <t>SEA</t>
        </is>
      </c>
      <c r="B10" s="59" t="inlineStr">
        <is>
          <t>Prioriser P1 pour tests Google Shopping/Search, puis P2 selon marge et sourcing.</t>
        </is>
      </c>
      <c r="C10" s="117" t="n"/>
      <c r="D10" s="117" t="n"/>
      <c r="E10" s="117" t="n"/>
      <c r="F10" s="117" t="n"/>
      <c r="G10" s="117" t="n"/>
      <c r="H10" s="117" t="n"/>
    </row>
    <row r="11">
      <c r="A11" s="123" t="inlineStr">
        <is>
          <t>Critères sourcing</t>
        </is>
      </c>
      <c r="B11" s="59" t="inlineStr">
        <is>
          <t>Produit physique léger et non fragile; marge x3 visée; note 4,7+ et 100+ commandes de préférence; livraison France; zéro licence; vendeur et variantes cohérents.</t>
        </is>
      </c>
      <c r="C11" s="117" t="n"/>
      <c r="D11" s="117" t="n"/>
      <c r="E11" s="117" t="n"/>
      <c r="F11" s="117" t="n"/>
      <c r="G11" s="117" t="n"/>
      <c r="H11" s="117" t="n"/>
    </row>
    <row r="12">
      <c r="A12" s="123" t="inlineStr">
        <is>
          <t>Conformité</t>
        </is>
      </c>
      <c r="B12" s="59" t="inlineStr">
        <is>
          <t>Pour les feutres, exiger documentation GPSR/REACH, étiquetage UE et informations matière. Pour les personnalisés, contrôler droits images, BAT et délais.</t>
        </is>
      </c>
      <c r="C12" s="117" t="n"/>
      <c r="D12" s="117" t="n"/>
      <c r="E12" s="117" t="n"/>
      <c r="F12" s="117" t="n"/>
      <c r="G12" s="117" t="n"/>
      <c r="H12" s="117" t="n"/>
    </row>
    <row r="13">
      <c r="A13" s="123" t="inlineStr">
        <is>
          <t>Veille concurrence</t>
        </is>
      </c>
      <c r="B13" s="59" t="inlineStr">
        <is>
          <t>Quatorze acteurs proches qualifiés, dont trois sites français inclus; seuls AICrayons et MyCuttieBox sont vraiment très proches du concept.</t>
        </is>
      </c>
      <c r="C13" s="117" t="n"/>
      <c r="D13" s="117" t="n"/>
      <c r="E13" s="117" t="n"/>
      <c r="F13" s="117" t="n"/>
      <c r="G13" s="117" t="n"/>
      <c r="H13" s="117" t="n"/>
    </row>
    <row r="14">
      <c r="A14" s="123" t="inlineStr">
        <is>
          <t>Sourcing AliExpress</t>
        </is>
      </c>
      <c r="B14" s="59" t="inlineStr">
        <is>
          <t>75 emplacements sont préparés. Les URL restent vides en attente d'un export AliExpress/DSers ou d'une liste de liens vérifiable.</t>
        </is>
      </c>
      <c r="C14" s="117" t="n"/>
      <c r="D14" s="117" t="n"/>
      <c r="E14" s="117" t="n"/>
      <c r="F14" s="117" t="n"/>
      <c r="G14" s="117" t="n"/>
      <c r="H14" s="117" t="n"/>
    </row>
    <row r="15">
      <c r="A15" s="124" t="inlineStr">
        <is>
          <t>Mise a jour</t>
        </is>
      </c>
      <c r="B15" s="62" t="inlineStr">
        <is>
          <t>Coller un nouvel export Ahrefs et remplacer les volumes/KD/CPC si besoin.</t>
        </is>
      </c>
      <c r="C15" s="117" t="n"/>
      <c r="D15" s="117" t="n"/>
      <c r="E15" s="117" t="n"/>
      <c r="F15" s="117" t="n"/>
      <c r="G15" s="117" t="n"/>
      <c r="H15" s="117" t="n"/>
    </row>
  </sheetData>
  <mergeCells count="1">
    <mergeCell ref="A1:H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6" customWidth="1" style="111" min="1" max="1"/>
    <col width="40" customWidth="1" style="111" min="2" max="2"/>
    <col width="13" customWidth="1" style="111" min="3" max="3"/>
    <col width="7" customWidth="1" style="111" min="4" max="4"/>
    <col width="9" customWidth="1" style="111" min="5" max="5"/>
    <col width="15" customWidth="1" style="111" min="6" max="6"/>
    <col width="20" customWidth="1" style="111" min="7" max="7"/>
    <col width="34" customWidth="1" style="111" min="8" max="8"/>
  </cols>
  <sheetData>
    <row r="1">
      <c r="A1" s="168" t="inlineStr">
        <is>
          <t>PISTES COMPLÉMENTAIRES — hors des 75 lignes validées (feuille Sourcing_AliExpress)</t>
        </is>
      </c>
    </row>
    <row r="3">
      <c r="A3" s="169" t="inlineStr">
        <is>
          <t>A) COLORIAGES / PRODUITS SOUS LICENCE — INFORMATIF UNIQUEMENT</t>
        </is>
      </c>
    </row>
    <row r="4" ht="40" customHeight="1" s="111">
      <c r="A4" s="170" t="inlineStr">
        <is>
          <t>⚠️ NE PAS VENDRE SANS AUTORISATION du détenteur de licence (contrefaçon = fermeture Shopify/Stripe, saisie douane, poursuites). Liste destinée à préparer tes demandes de licence. Données niveau recherche (non re-vérifiées en fiche).</t>
        </is>
      </c>
    </row>
    <row r="5">
      <c r="A5" s="171" t="inlineStr">
        <is>
          <t>Licence / IP</t>
        </is>
      </c>
      <c r="B5" s="171" t="inlineStr">
        <is>
          <t>Produit</t>
        </is>
      </c>
      <c r="C5" s="171" t="inlineStr">
        <is>
          <t>Prix achat EUR</t>
        </is>
      </c>
      <c r="D5" s="171" t="inlineStr">
        <is>
          <t>Note</t>
        </is>
      </c>
      <c r="E5" s="171" t="inlineStr">
        <is>
          <t>Ventes</t>
        </is>
      </c>
      <c r="F5" s="171" t="inlineStr">
        <is>
          <t>Lien AliExpress</t>
        </is>
      </c>
      <c r="G5" s="171" t="inlineStr">
        <is>
          <t>Collection cible</t>
        </is>
      </c>
      <c r="H5" s="171" t="inlineStr">
        <is>
          <t>Remarque</t>
        </is>
      </c>
    </row>
    <row r="6">
      <c r="A6" s="172" t="inlineStr">
        <is>
          <t>Disney / La Reine des Neiges</t>
        </is>
      </c>
      <c r="B6" s="172" t="inlineStr">
        <is>
          <t>Livre magique à l'eau Frozen</t>
        </is>
      </c>
      <c r="C6" s="172" t="n">
        <v>5.19</v>
      </c>
      <c r="D6" s="172" t="n">
        <v>4.9</v>
      </c>
      <c r="E6" s="172" t="n">
        <v>5000</v>
      </c>
      <c r="F6" s="173" t="inlineStr">
        <is>
          <t>Voir produit</t>
        </is>
      </c>
      <c r="G6" s="172" t="inlineStr">
        <is>
          <t>coloriage kawaii fille</t>
        </is>
      </c>
      <c r="H6" s="172" t="inlineStr">
        <is>
          <t>Perso Disney protégé</t>
        </is>
      </c>
    </row>
    <row r="7">
      <c r="A7" s="172" t="inlineStr">
        <is>
          <t>Disney</t>
        </is>
      </c>
      <c r="B7" s="172" t="inlineStr">
        <is>
          <t>Jouets dessin peinture à l'eau Disney</t>
        </is>
      </c>
      <c r="C7" s="172" t="n">
        <v>5.09</v>
      </c>
      <c r="D7" s="172" t="n">
        <v>4.7</v>
      </c>
      <c r="E7" s="172" t="n">
        <v>4000</v>
      </c>
      <c r="F7" s="173" t="inlineStr">
        <is>
          <t>Voir produit</t>
        </is>
      </c>
      <c r="G7" s="172" t="inlineStr">
        <is>
          <t>coloriage fille</t>
        </is>
      </c>
      <c r="H7" s="172" t="inlineStr">
        <is>
          <t>Persos Disney</t>
        </is>
      </c>
    </row>
    <row r="8">
      <c r="A8" s="172" t="inlineStr">
        <is>
          <t>Disney / Reine des Neiges</t>
        </is>
      </c>
      <c r="B8" s="172" t="inlineStr">
        <is>
          <t>Puzzle/coloriage Reine des Neiges</t>
        </is>
      </c>
      <c r="C8" s="172" t="n">
        <v>5.79</v>
      </c>
      <c r="D8" s="172" t="n">
        <v>4.7</v>
      </c>
      <c r="E8" s="172" t="n">
        <v>3000</v>
      </c>
      <c r="F8" s="173" t="inlineStr">
        <is>
          <t>Voir produit</t>
        </is>
      </c>
      <c r="G8" s="172" t="inlineStr">
        <is>
          <t>coloriage fille</t>
        </is>
      </c>
      <c r="H8" s="172" t="inlineStr">
        <is>
          <t>Frozen</t>
        </is>
      </c>
    </row>
    <row r="9">
      <c r="A9" s="172" t="inlineStr">
        <is>
          <t>Disney / Stitch</t>
        </is>
      </c>
      <c r="B9" s="172" t="inlineStr">
        <is>
          <t>Crayons de couleur Stitch (12 pcs)</t>
        </is>
      </c>
      <c r="C9" s="172" t="n">
        <v>6.49</v>
      </c>
      <c r="D9" s="172" t="n">
        <v>4.9</v>
      </c>
      <c r="E9" s="172" t="n">
        <v>500</v>
      </c>
      <c r="F9" s="173" t="inlineStr">
        <is>
          <t>Voir produit</t>
        </is>
      </c>
      <c r="G9" s="172" t="inlineStr">
        <is>
          <t>trousse kawaii</t>
        </is>
      </c>
      <c r="H9" s="172" t="inlineStr">
        <is>
          <t>Lilo &amp; Stitch</t>
        </is>
      </c>
    </row>
    <row r="10">
      <c r="A10" s="172" t="inlineStr">
        <is>
          <t>Pokémon (Nintendo)</t>
        </is>
      </c>
      <c r="B10" s="172" t="inlineStr">
        <is>
          <t>Stylos Pokémon Pikachu (5 pcs)</t>
        </is>
      </c>
      <c r="C10" s="172" t="n">
        <v>6.49</v>
      </c>
      <c r="D10" s="172" t="n">
        <v>4.9</v>
      </c>
      <c r="E10" s="172" t="n">
        <v>50000</v>
      </c>
      <c r="F10" s="173" t="inlineStr">
        <is>
          <t>Voir produit</t>
        </is>
      </c>
      <c r="G10" s="172" t="inlineStr">
        <is>
          <t>trousse / feutre</t>
        </is>
      </c>
      <c r="H10" s="172" t="inlineStr">
        <is>
          <t>Pikachu &amp; co</t>
        </is>
      </c>
    </row>
    <row r="11">
      <c r="A11" s="172" t="inlineStr">
        <is>
          <t>Pokémon (Nintendo)</t>
        </is>
      </c>
      <c r="B11" s="172" t="inlineStr">
        <is>
          <t>Figurines/anime Pokémon</t>
        </is>
      </c>
      <c r="C11" s="172" t="n">
        <v>6.19</v>
      </c>
      <c r="D11" s="172" t="n">
        <v>4.8</v>
      </c>
      <c r="E11" s="172" t="n">
        <v>10000</v>
      </c>
      <c r="F11" s="173" t="inlineStr">
        <is>
          <t>Voir produit</t>
        </is>
      </c>
      <c r="G11" s="172" t="inlineStr">
        <is>
          <t>chat kawaii (déco)</t>
        </is>
      </c>
      <c r="H11" s="172" t="inlineStr">
        <is>
          <t>Marque déposée</t>
        </is>
      </c>
    </row>
    <row r="12">
      <c r="A12" s="172" t="inlineStr">
        <is>
          <t>Sanrio / Hello Kitty</t>
        </is>
      </c>
      <c r="B12" s="172" t="inlineStr">
        <is>
          <t>Trousse maquillage Hello Kitty</t>
        </is>
      </c>
      <c r="C12" s="172" t="n">
        <v>5.49</v>
      </c>
      <c r="D12" s="172" t="n">
        <v>4.9</v>
      </c>
      <c r="E12" s="172" t="n">
        <v>10000</v>
      </c>
      <c r="F12" s="173" t="inlineStr">
        <is>
          <t>Voir produit</t>
        </is>
      </c>
      <c r="G12" s="172" t="inlineStr">
        <is>
          <t>trousse kawaii</t>
        </is>
      </c>
      <c r="H12" s="172" t="inlineStr">
        <is>
          <t>Sanrio</t>
        </is>
      </c>
    </row>
    <row r="13">
      <c r="A13" s="172" t="inlineStr">
        <is>
          <t>DreamWorks / Gabby's Dollhouse</t>
        </is>
      </c>
      <c r="B13" s="172" t="inlineStr">
        <is>
          <t>Peluche Gabby's (Mercat)</t>
        </is>
      </c>
      <c r="C13" s="172" t="n">
        <v>7.19</v>
      </c>
      <c r="D13" s="172" t="n">
        <v>4.9</v>
      </c>
      <c r="E13" s="172" t="n">
        <v>10000</v>
      </c>
      <c r="F13" s="173" t="inlineStr">
        <is>
          <t>Voir produit</t>
        </is>
      </c>
      <c r="G13" s="172" t="inlineStr">
        <is>
          <t>chat kawaii</t>
        </is>
      </c>
      <c r="H13" s="172" t="inlineStr">
        <is>
          <t>Gabby's</t>
        </is>
      </c>
    </row>
    <row r="14">
      <c r="A14" s="172" t="inlineStr">
        <is>
          <t>Paws / Garfield</t>
        </is>
      </c>
      <c r="B14" s="172" t="inlineStr">
        <is>
          <t>Peluche Garfield 25cm</t>
        </is>
      </c>
      <c r="C14" s="172" t="n">
        <v>8.69</v>
      </c>
      <c r="D14" s="172" t="n">
        <v>4.9</v>
      </c>
      <c r="E14" s="172" t="n">
        <v>10000</v>
      </c>
      <c r="F14" s="173" t="inlineStr">
        <is>
          <t>Voir produit</t>
        </is>
      </c>
      <c r="G14" s="172" t="inlineStr">
        <is>
          <t>chat kawaii</t>
        </is>
      </c>
      <c r="H14" s="172" t="inlineStr">
        <is>
          <t>Garfield</t>
        </is>
      </c>
    </row>
    <row r="15">
      <c r="A15" s="172" t="inlineStr">
        <is>
          <t>Studio Ghibli / Totoro</t>
        </is>
      </c>
      <c r="B15" s="172" t="inlineStr">
        <is>
          <t>Porte-clés Totoro</t>
        </is>
      </c>
      <c r="C15" s="172" t="n">
        <v>2.76</v>
      </c>
      <c r="D15" s="172" t="n">
        <v>4.8</v>
      </c>
      <c r="E15" s="172" t="n">
        <v>10000</v>
      </c>
      <c r="F15" s="173" t="inlineStr">
        <is>
          <t>Voir produit</t>
        </is>
      </c>
      <c r="G15" s="172" t="inlineStr">
        <is>
          <t>chat kawaii</t>
        </is>
      </c>
      <c r="H15" s="172" t="inlineStr">
        <is>
          <t>Ghibli</t>
        </is>
      </c>
    </row>
    <row r="16">
      <c r="A16" s="172" t="inlineStr">
        <is>
          <t>Spin Master / Paw Patrol</t>
        </is>
      </c>
      <c r="B16" s="172" t="inlineStr">
        <is>
          <t>Livre magique à l'eau Pat'Patrouille</t>
        </is>
      </c>
      <c r="C16" s="172" t="n">
        <v>5.59</v>
      </c>
      <c r="D16" s="172" t="n">
        <v>4.9</v>
      </c>
      <c r="E16" s="172" t="n">
        <v>5000</v>
      </c>
      <c r="F16" s="173" t="inlineStr">
        <is>
          <t>Voir produit</t>
        </is>
      </c>
      <c r="G16" s="172" t="inlineStr">
        <is>
          <t>coloriage magique</t>
        </is>
      </c>
      <c r="H16" s="172" t="inlineStr">
        <is>
          <t>Paw Patrol</t>
        </is>
      </c>
    </row>
    <row r="17">
      <c r="A17" s="172" t="inlineStr">
        <is>
          <t>A24 / Hazbin Hotel</t>
        </is>
      </c>
      <c r="B17" s="172" t="inlineStr">
        <is>
          <t>Marque-page/clip Hazbin</t>
        </is>
      </c>
      <c r="C17" s="172" t="n">
        <v>5.29</v>
      </c>
      <c r="D17" s="172" t="n">
        <v>4.7</v>
      </c>
      <c r="E17" s="172" t="n">
        <v>89</v>
      </c>
      <c r="F17" s="173" t="inlineStr">
        <is>
          <t>Voir produit</t>
        </is>
      </c>
      <c r="G17" s="172" t="inlineStr">
        <is>
          <t>marque page</t>
        </is>
      </c>
      <c r="H17" s="172" t="inlineStr">
        <is>
          <t>Hazbin Hotel</t>
        </is>
      </c>
    </row>
    <row r="18">
      <c r="A18" s="172" t="inlineStr">
        <is>
          <t>Incredibox / Sprunki</t>
        </is>
      </c>
      <c r="B18" s="172" t="inlineStr">
        <is>
          <t>Coloriage Sprunki</t>
        </is>
      </c>
      <c r="C18" s="172" t="n">
        <v>5.69</v>
      </c>
      <c r="D18" s="172" t="n">
        <v>4.8</v>
      </c>
      <c r="E18" s="172" t="n">
        <v>1000</v>
      </c>
      <c r="F18" s="173" t="inlineStr">
        <is>
          <t>Voir produit</t>
        </is>
      </c>
      <c r="G18" s="172" t="inlineStr">
        <is>
          <t>coloriage manga</t>
        </is>
      </c>
      <c r="H18" s="172" t="inlineStr">
        <is>
          <t>Sprunki (jeu)</t>
        </is>
      </c>
    </row>
    <row r="20">
      <c r="A20" s="174" t="inlineStr">
        <is>
          <t>B) ALTERNATIVES STYLE GÉNÉRIQUE — LÉGALES (ajoutables au catalogue)</t>
        </is>
      </c>
    </row>
    <row r="21">
      <c r="A21" s="171" t="inlineStr">
        <is>
          <t>Au lieu de (licence)</t>
        </is>
      </c>
      <c r="B21" s="171" t="inlineStr">
        <is>
          <t>Produit générique</t>
        </is>
      </c>
      <c r="C21" s="171" t="inlineStr">
        <is>
          <t>Prix achat EUR</t>
        </is>
      </c>
      <c r="D21" s="171" t="inlineStr">
        <is>
          <t>Note</t>
        </is>
      </c>
      <c r="E21" s="171" t="inlineStr">
        <is>
          <t>Ventes</t>
        </is>
      </c>
      <c r="F21" s="171" t="inlineStr">
        <is>
          <t>Lien AliExpress</t>
        </is>
      </c>
      <c r="G21" s="171" t="inlineStr">
        <is>
          <t>Collection cible</t>
        </is>
      </c>
      <c r="H21" s="171" t="inlineStr">
        <is>
          <t>Terme de recherche légal</t>
        </is>
      </c>
    </row>
    <row r="22">
      <c r="A22" s="172" t="inlineStr">
        <is>
          <t>Disney princesses</t>
        </is>
      </c>
      <c r="B22" s="172" t="inlineStr">
        <is>
          <t>Coloriage château féerique (générique)</t>
        </is>
      </c>
      <c r="C22" s="172" t="n">
        <v>6.99</v>
      </c>
      <c r="D22" s="172" t="n">
        <v>4.9</v>
      </c>
      <c r="E22" s="172" t="n">
        <v>700</v>
      </c>
      <c r="F22" s="173" t="inlineStr">
        <is>
          <t>Voir produit</t>
        </is>
      </c>
      <c r="G22" s="172" t="inlineStr">
        <is>
          <t>coloriage kawaii fille</t>
        </is>
      </c>
      <c r="H22" s="172" t="inlineStr">
        <is>
          <t>coloriage princesse / château féerique</t>
        </is>
      </c>
    </row>
    <row r="23">
      <c r="A23" s="172" t="inlineStr">
        <is>
          <t>Disney / persos filles</t>
        </is>
      </c>
      <c r="B23" s="172" t="inlineStr">
        <is>
          <t>Coloriage 'princesse belle fille' générique</t>
        </is>
      </c>
      <c r="C23" s="172" t="n">
        <v>6.79</v>
      </c>
      <c r="D23" s="172" t="n">
        <v>4.9</v>
      </c>
      <c r="E23" s="172" t="n">
        <v>408</v>
      </c>
      <c r="F23" s="173" t="inlineStr">
        <is>
          <t>Voir produit</t>
        </is>
      </c>
      <c r="G23" s="172" t="inlineStr">
        <is>
          <t>coloriage fille</t>
        </is>
      </c>
      <c r="H23" s="172" t="inlineStr">
        <is>
          <t>coloriage princesse generique</t>
        </is>
      </c>
    </row>
    <row r="24">
      <c r="A24" s="172" t="inlineStr">
        <is>
          <t>Pokémon / monstres</t>
        </is>
      </c>
      <c r="B24" s="172" t="inlineStr">
        <is>
          <t>Coloriage 'monstre mignon' générique</t>
        </is>
      </c>
      <c r="C24" s="172" t="n">
        <v>6.29</v>
      </c>
      <c r="D24" s="172" t="n">
        <v>4.7</v>
      </c>
      <c r="E24" s="172" t="n">
        <v>417</v>
      </c>
      <c r="F24" s="173" t="inlineStr">
        <is>
          <t>Voir produit</t>
        </is>
      </c>
      <c r="G24" s="172" t="inlineStr">
        <is>
          <t>coloriage kawaii fille</t>
        </is>
      </c>
      <c r="H24" s="172" t="inlineStr">
        <is>
          <t>coloriage monstre mignon / creepy kawaii</t>
        </is>
      </c>
    </row>
    <row r="25">
      <c r="A25" s="172" t="inlineStr">
        <is>
          <t>Manga sous licence</t>
        </is>
      </c>
      <c r="B25" s="172" t="inlineStr">
        <is>
          <t>Carnet croquis anime débutants (style)</t>
        </is>
      </c>
      <c r="C25" s="172" t="n">
        <v>8.69</v>
      </c>
      <c r="D25" s="172" t="n">
        <v>4.8</v>
      </c>
      <c r="E25" s="172" t="n">
        <v>600</v>
      </c>
      <c r="F25" s="173" t="inlineStr">
        <is>
          <t>Voir produit</t>
        </is>
      </c>
      <c r="G25" s="172" t="inlineStr">
        <is>
          <t>coloriage manga</t>
        </is>
      </c>
      <c r="H25" s="172" t="inlineStr">
        <is>
          <t>apprendre a dessiner anime / how to draw manga</t>
        </is>
      </c>
    </row>
    <row r="26">
      <c r="A26" s="172" t="inlineStr">
        <is>
          <t>Sanrio / Hello Kitty</t>
        </is>
      </c>
      <c r="B26" s="172" t="inlineStr">
        <is>
          <t>Chat kawaii générique (déjà en cat.)</t>
        </is>
      </c>
      <c r="C26" s="172" t="n">
        <v>6.59</v>
      </c>
      <c r="D26" s="172" t="n">
        <v>4.9</v>
      </c>
      <c r="E26" s="172" t="n">
        <v>700</v>
      </c>
      <c r="F26" s="173" t="inlineStr">
        <is>
          <t>Voir produit</t>
        </is>
      </c>
      <c r="G26" s="172" t="inlineStr">
        <is>
          <t>chat kawaii</t>
        </is>
      </c>
      <c r="H26" s="172" t="inlineStr">
        <is>
          <t>coloriage chat kawaii generique</t>
        </is>
      </c>
    </row>
    <row r="28" ht="30" customHeight="1" s="111">
      <c r="A28" s="175" t="inlineStr">
        <is>
          <t>Foot : pas de coloriage foot générique fiable sur AliExpress. Piste légale = créer/commander des visuels foot originaux (POD) OU chercher 'coloriage sport enfant'. Clubs/joueurs = licence obligatoire.</t>
        </is>
      </c>
    </row>
  </sheetData>
  <mergeCells count="4">
    <mergeCell ref="A28:H28"/>
    <mergeCell ref="A4:H4"/>
    <mergeCell ref="A20:H20"/>
    <mergeCell ref="A3:H3"/>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28" customWidth="1" style="111" min="1" max="1"/>
    <col width="8" customWidth="1" style="111" min="2" max="2"/>
    <col width="110" customWidth="1" style="111" min="3" max="3"/>
  </cols>
  <sheetData>
    <row r="1">
      <c r="A1" s="168" t="inlineStr">
        <is>
          <t>PROMPTS IMAGES — HOME &amp; PAGES DE COLLECTION</t>
        </is>
      </c>
    </row>
    <row r="2">
      <c r="A2" s="177" t="inlineStr">
        <is>
          <t>Marque : coloriages kawaii. Aesthetic : soft pastel kawaii brand aesthetic, cohesive palette (blush pink, cream, mint, lilac).</t>
        </is>
      </c>
    </row>
    <row r="4">
      <c r="A4" s="178" t="inlineStr">
        <is>
          <t>Zone</t>
        </is>
      </c>
      <c r="B4" s="178" t="inlineStr">
        <is>
          <t>Format</t>
        </is>
      </c>
      <c r="C4" s="178" t="inlineStr">
        <is>
          <t>Prompt</t>
        </is>
      </c>
    </row>
    <row r="5" ht="46" customHeight="1" s="111">
      <c r="A5" s="179" t="inlineStr">
        <is>
          <t>HOME — Hero desktop</t>
        </is>
      </c>
      <c r="B5" s="172" t="inlineStr">
        <is>
          <t>16:9</t>
        </is>
      </c>
      <c r="C5" s="180" t="inlineStr">
        <is>
          <t>Wide website hero banner for a kawaii coloring brand: a cozy pastel desk flat-lay with a neat stack of cute coloring books, colored pencils, a warm drink and a small plush, soft dreamy morning light, soft pastel kawaii brand aesthetic, cohesive palette (blush pink, cream, mint, lilac), large clean area on the left for a headline, 16:9.</t>
        </is>
      </c>
    </row>
    <row r="6" ht="46" customHeight="1" s="111">
      <c r="A6" s="179" t="inlineStr">
        <is>
          <t>HOME — Hero mobile</t>
        </is>
      </c>
      <c r="B6" s="172" t="inlineStr">
        <is>
          <t>9:16</t>
        </is>
      </c>
      <c r="C6" s="180" t="inlineStr">
        <is>
          <t>Vertical mobile hero for a kawaii coloring brand: top-down cozy desk with a coloring book, pencils and plush, pastel, soft light, soft pastel kawaii brand aesthetic, cohesive palette (blush pink, cream, mint, lilac), clean top area for headline, 9:16.</t>
        </is>
      </c>
    </row>
    <row r="7" ht="46" customHeight="1" s="111">
      <c r="A7" s="179" t="inlineStr">
        <is>
          <t>HOME — Bandeau 'univers'</t>
        </is>
      </c>
      <c r="B7" s="172" t="inlineStr">
        <is>
          <t>21:9</t>
        </is>
      </c>
      <c r="C7" s="180" t="inlineStr">
        <is>
          <t>Ultra-wide lifestyle strip: a person coloring in a cozy blanket nook surrounded by soft pastel decor and plush, warm hygge mood, soft pastel kawaii brand aesthetic, cohesive palette (blush pink, cream, mint, lilac), space for text, 21:9.</t>
        </is>
      </c>
    </row>
    <row r="8" ht="46" customHeight="1" s="111">
      <c r="A8" s="179" t="inlineStr">
        <is>
          <t>HOME — Grille valeurs / icônes</t>
        </is>
      </c>
      <c r="B8" s="172" t="inlineStr">
        <is>
          <t>1:1</t>
        </is>
      </c>
      <c r="C8" s="180" t="inlineStr">
        <is>
          <t>Set of 4 minimalist pastel icons for a kawaii coloring brand (relaxation, thick paper, fast EU shipping, gift-ready), flat clean style, soft pastel kawaii brand aesthetic, cohesive palette (blush pink, cream, mint, lilac), consistent, 1:1 each.</t>
        </is>
      </c>
    </row>
    <row r="9" ht="46" customHeight="1" s="111">
      <c r="A9" s="179" t="inlineStr">
        <is>
          <t>HOME — Bloc 'best-sellers'</t>
        </is>
      </c>
      <c r="B9" s="172" t="inlineStr">
        <is>
          <t>4:5</t>
        </is>
      </c>
      <c r="C9" s="180" t="inlineStr">
        <is>
          <t>Soft pastel product showcase background (empty), gentle gradient and subtle sparkles, soft pastel kawaii brand aesthetic, cohesive palette (blush pink, cream, mint, lilac), for overlaying product cards, 4:5.</t>
        </is>
      </c>
    </row>
    <row r="10">
      <c r="A10" s="174" t="inlineStr">
        <is>
          <t>BANNIÈRES DE COLLECTION</t>
        </is>
      </c>
    </row>
    <row r="11" ht="44" customHeight="1" s="111">
      <c r="A11" s="172" t="inlineStr">
        <is>
          <t>coloriage kawaii</t>
        </is>
      </c>
      <c r="B11" s="172" t="inlineStr">
        <is>
          <t>16:9</t>
        </is>
      </c>
      <c r="C11" s="180" t="inlineStr">
        <is>
          <t>Collection banner for «coloriage kawaii»: kawaii coloring books &amp; pencils, cozy pastel scene, soft pastel kawaii brand aesthetic, cohesive palette (blush pink, cream, mint, lilac), wide format with clear space for the collection title, 16:9. (No copyrighted characters/logos.)</t>
        </is>
      </c>
    </row>
    <row r="12" ht="44" customHeight="1" s="111">
      <c r="A12" s="172" t="inlineStr">
        <is>
          <t>coloriage adulte</t>
        </is>
      </c>
      <c r="B12" s="172" t="inlineStr">
        <is>
          <t>16:9</t>
        </is>
      </c>
      <c r="C12" s="180" t="inlineStr">
        <is>
          <t>Collection banner for «coloriage adulte»: kawaii coloring books &amp; pencils, cozy pastel scene, soft pastel kawaii brand aesthetic, cohesive palette (blush pink, cream, mint, lilac), wide format with clear space for the collection title, 16:9. (No copyrighted characters/logos.)</t>
        </is>
      </c>
    </row>
    <row r="13" ht="44" customHeight="1" s="111">
      <c r="A13" s="172" t="inlineStr">
        <is>
          <t>coloriage magique</t>
        </is>
      </c>
      <c r="B13" s="172" t="inlineStr">
        <is>
          <t>16:9</t>
        </is>
      </c>
      <c r="C13" s="180" t="inlineStr">
        <is>
          <t>Collection banner for «coloriage magique»: kids magic-water, colorful, cozy pastel scene, soft pastel kawaii brand aesthetic, cohesive palette (blush pink, cream, mint, lilac), wide format with clear space for the collection title, 16:9. (No copyrighted characters/logos.)</t>
        </is>
      </c>
    </row>
    <row r="14" ht="44" customHeight="1" s="111">
      <c r="A14" s="172" t="inlineStr">
        <is>
          <t>coloriage mystere</t>
        </is>
      </c>
      <c r="B14" s="172" t="inlineStr">
        <is>
          <t>16:9</t>
        </is>
      </c>
      <c r="C14" s="180" t="inlineStr">
        <is>
          <t>Collection banner for «coloriage mystere»: kawaii coloring books &amp; pencils, cozy pastel scene, soft pastel kawaii brand aesthetic, cohesive palette (blush pink, cream, mint, lilac), wide format with clear space for the collection title, 16:9. (No copyrighted characters/logos.)</t>
        </is>
      </c>
    </row>
    <row r="15" ht="44" customHeight="1" s="111">
      <c r="A15" s="172" t="inlineStr">
        <is>
          <t>coloriage cosy</t>
        </is>
      </c>
      <c r="B15" s="172" t="inlineStr">
        <is>
          <t>16:9</t>
        </is>
      </c>
      <c r="C15" s="180" t="inlineStr">
        <is>
          <t>Collection banner for «coloriage cosy»: autumnal reading nook, warm drinks, cozy pastel scene, soft pastel kawaii brand aesthetic, cohesive palette (blush pink, cream, mint, lilac), wide format with clear space for the collection title, 16:9. (No copyrighted characters/logos.)</t>
        </is>
      </c>
    </row>
    <row r="16" ht="44" customHeight="1" s="111">
      <c r="A16" s="172" t="inlineStr">
        <is>
          <t>coloriage manga</t>
        </is>
      </c>
      <c r="B16" s="172" t="inlineStr">
        <is>
          <t>16:9</t>
        </is>
      </c>
      <c r="C16" s="180" t="inlineStr">
        <is>
          <t>Collection banner for «coloriage manga»: anime-style desk, screentones, cozy pastel scene, soft pastel kawaii brand aesthetic, cohesive palette (blush pink, cream, mint, lilac), wide format with clear space for the collection title, 16:9. (No copyrighted characters/logos.)</t>
        </is>
      </c>
    </row>
    <row r="17" ht="44" customHeight="1" s="111">
      <c r="A17" s="172" t="inlineStr">
        <is>
          <t>coloriage foot</t>
        </is>
      </c>
      <c r="B17" s="172" t="inlineStr">
        <is>
          <t>16:9</t>
        </is>
      </c>
      <c r="C17" s="180" t="inlineStr">
        <is>
          <t>Collection banner for «coloriage foot»: generic playful football/sport (NO club logo), cozy pastel scene, soft pastel kawaii brand aesthetic, cohesive palette (blush pink, cream, mint, lilac), wide format with clear space for the collection title, 16:9. (No copyrighted characters/logos.)</t>
        </is>
      </c>
    </row>
    <row r="18" ht="44" customHeight="1" s="111">
      <c r="A18" s="172" t="inlineStr">
        <is>
          <t>coloriage fille</t>
        </is>
      </c>
      <c r="B18" s="172" t="inlineStr">
        <is>
          <t>16:9</t>
        </is>
      </c>
      <c r="C18" s="180" t="inlineStr">
        <is>
          <t>Collection banner for «coloriage fille»: kawaii coloring books &amp; pencils, cozy pastel scene, soft pastel kawaii brand aesthetic, cohesive palette (blush pink, cream, mint, lilac), wide format with clear space for the collection title, 16:9. (No copyrighted characters/logos.)</t>
        </is>
      </c>
    </row>
    <row r="19" ht="44" customHeight="1" s="111">
      <c r="A19" s="172" t="inlineStr">
        <is>
          <t>coloriage kawaii fille</t>
        </is>
      </c>
      <c r="B19" s="172" t="inlineStr">
        <is>
          <t>16:9</t>
        </is>
      </c>
      <c r="C19" s="180" t="inlineStr">
        <is>
          <t>Collection banner for «coloriage kawaii fille»: girly pastel, princess/fairy generic, cozy pastel scene, soft pastel kawaii brand aesthetic, cohesive palette (blush pink, cream, mint, lilac), wide format with clear space for the collection title, 16:9. (No copyrighted characters/logos.)</t>
        </is>
      </c>
    </row>
    <row r="20" ht="44" customHeight="1" s="111">
      <c r="A20" s="172" t="inlineStr">
        <is>
          <t>chat kawaii</t>
        </is>
      </c>
      <c r="B20" s="172" t="inlineStr">
        <is>
          <t>16:9</t>
        </is>
      </c>
      <c r="C20" s="180" t="inlineStr">
        <is>
          <t>Collection banner for «chat kawaii»: cute cats and plush, cozy pastel scene, soft pastel kawaii brand aesthetic, cohesive palette (blush pink, cream, mint, lilac), wide format with clear space for the collection title, 16:9. (No copyrighted characters/logos.)</t>
        </is>
      </c>
    </row>
    <row r="21" ht="44" customHeight="1" s="111">
      <c r="A21" s="172" t="inlineStr">
        <is>
          <t>feutre acrylique</t>
        </is>
      </c>
      <c r="B21" s="172" t="inlineStr">
        <is>
          <t>16:9</t>
        </is>
      </c>
      <c r="C21" s="180" t="inlineStr">
        <is>
          <t>Collection banner for «feutre acrylique»: colorful markers &amp; swatches, cozy pastel scene, soft pastel kawaii brand aesthetic, cohesive palette (blush pink, cream, mint, lilac), wide format with clear space for the collection title, 16:9. (No copyrighted characters/logos.)</t>
        </is>
      </c>
    </row>
    <row r="22" ht="44" customHeight="1" s="111">
      <c r="A22" s="172" t="inlineStr">
        <is>
          <t>feutre a alcool</t>
        </is>
      </c>
      <c r="B22" s="172" t="inlineStr">
        <is>
          <t>16:9</t>
        </is>
      </c>
      <c r="C22" s="180" t="inlineStr">
        <is>
          <t>Collection banner for «feutre a alcool»: markers &amp; sketch art, cozy pastel scene, soft pastel kawaii brand aesthetic, cohesive palette (blush pink, cream, mint, lilac), wide format with clear space for the collection title, 16:9. (No copyrighted characters/logos.)</t>
        </is>
      </c>
    </row>
    <row r="23" ht="44" customHeight="1" s="111">
      <c r="A23" s="172" t="inlineStr">
        <is>
          <t>trousse kawaii</t>
        </is>
      </c>
      <c r="B23" s="172" t="inlineStr">
        <is>
          <t>16:9</t>
        </is>
      </c>
      <c r="C23" s="180" t="inlineStr">
        <is>
          <t>Collection banner for «trousse kawaii»: cute stationery flat-lay, cozy pastel scene, soft pastel kawaii brand aesthetic, cohesive palette (blush pink, cream, mint, lilac), wide format with clear space for the collection title, 16:9. (No copyrighted characters/logos.)</t>
        </is>
      </c>
    </row>
    <row r="24" ht="44" customHeight="1" s="111">
      <c r="A24" s="172" t="inlineStr">
        <is>
          <t>marque page personnalisé</t>
        </is>
      </c>
      <c r="B24" s="172" t="inlineStr">
        <is>
          <t>16:9</t>
        </is>
      </c>
      <c r="C24" s="180" t="inlineStr">
        <is>
          <t>Collection banner for «marque page personnalisé»: open book &amp; dried flowers, cozy pastel scene, soft pastel kawaii brand aesthetic, cohesive palette (blush pink, cream, mint, lilac), wide format with clear space for the collection title, 16:9. (No copyrighted characters/logos.)</t>
        </is>
      </c>
    </row>
    <row r="25" ht="44" customHeight="1" s="111">
      <c r="A25" s="172" t="inlineStr">
        <is>
          <t>diamond painting personnalisé</t>
        </is>
      </c>
      <c r="B25" s="172" t="inlineStr">
        <is>
          <t>16:9</t>
        </is>
      </c>
      <c r="C25" s="180" t="inlineStr">
        <is>
          <t>Collection banner for «diamond painting personnalisé»: sparkling diamonds &amp; canvas, cozy pastel scene, soft pastel kawaii brand aesthetic, cohesive palette (blush pink, cream, mint, lilac), wide format with clear space for the collection title, 16:9. (No copyrighted characters/logos.)</t>
        </is>
      </c>
    </row>
  </sheetData>
  <mergeCells count="1">
    <mergeCell ref="A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2026-07-09T22:47:39Z</dcterms:created>
  <dcterms:modified xsi:type="dcterms:W3CDTF">2026-07-10T10:21:38Z</dcterms:modified>
</cp:coreProperties>
</file>